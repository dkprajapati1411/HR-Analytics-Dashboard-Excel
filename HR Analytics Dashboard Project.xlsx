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1A7ED214-7737-40B6-9324-9BD7BE32F27B}" xr6:coauthVersionLast="47" xr6:coauthVersionMax="47" xr10:uidLastSave="{00000000-0000-0000-0000-000000000000}"/>
  <bookViews>
    <workbookView xWindow="-108" yWindow="-108" windowWidth="23256" windowHeight="12456" tabRatio="786" firstSheet="5" activeTab="9" xr2:uid="{4123AAB5-394C-4B41-BAB4-11865D8163DA}"/>
  </bookViews>
  <sheets>
    <sheet name="KPI" sheetId="2" r:id="rId1"/>
    <sheet name="Rating" sheetId="4" r:id="rId2"/>
    <sheet name="Gender" sheetId="5" r:id="rId3"/>
    <sheet name="Education by Attrition" sheetId="6" r:id="rId4"/>
    <sheet name="Attrition by Job" sheetId="7" r:id="rId5"/>
    <sheet name="Dept wise Attrition" sheetId="8" r:id="rId6"/>
    <sheet name="Attrition by Age Group" sheetId="9" r:id="rId7"/>
    <sheet name="Attrition by Marital Status" sheetId="10" r:id="rId8"/>
    <sheet name="HR DATA_Excel.xlsx - Data" sheetId="1" r:id="rId9"/>
    <sheet name="Dashboard" sheetId="3" r:id="rId10"/>
  </sheets>
  <definedNames>
    <definedName name="_xlchart.v1.0" hidden="1">'Attrition by Job'!$E$4:$E$12</definedName>
    <definedName name="_xlchart.v1.1" hidden="1">'Attrition by Job'!$F$4:$F$12</definedName>
    <definedName name="_xlchart.v1.8" hidden="1">'Attrition by Job'!$E$4:$E$12</definedName>
    <definedName name="_xlchart.v1.9" hidden="1">'Attrition by Job'!$F$4:$F$12</definedName>
    <definedName name="_xlchart.v2.2" hidden="1">'Attrition by Marital Status'!$D$4:$D$6</definedName>
    <definedName name="_xlchart.v2.3" hidden="1">'Attrition by Marital Status'!$E$3</definedName>
    <definedName name="_xlchart.v2.4" hidden="1">'Attrition by Marital Status'!$E$4:$E$6</definedName>
    <definedName name="_xlchart.v2.5" hidden="1">'Attrition by Marital Status'!$D$4:$D$6</definedName>
    <definedName name="_xlchart.v2.6" hidden="1">'Attrition by Marital Status'!$E$3</definedName>
    <definedName name="_xlchart.v2.7" hidden="1">'Attrition by Marital Status'!$E$4:$E$6</definedName>
    <definedName name="Slicer_Department">#N/A</definedName>
    <definedName name="Slicer_Education_Field2">#N/A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0" l="1"/>
  <c r="D6" i="10"/>
  <c r="D5" i="10"/>
  <c r="E4" i="7"/>
  <c r="E5" i="7"/>
  <c r="E6" i="7"/>
  <c r="E7" i="7"/>
  <c r="E8" i="7"/>
  <c r="E9" i="7"/>
  <c r="E10" i="7"/>
  <c r="E11" i="7"/>
  <c r="E12" i="7"/>
  <c r="E6" i="10"/>
  <c r="E4" i="10"/>
  <c r="E5" i="10"/>
  <c r="F5" i="7"/>
  <c r="F9" i="7"/>
  <c r="F12" i="7"/>
  <c r="F6" i="7"/>
  <c r="F10" i="7"/>
  <c r="F7" i="7"/>
  <c r="F11" i="7"/>
  <c r="F8" i="7"/>
  <c r="F4" i="7"/>
  <c r="B11" i="5"/>
  <c r="C8" i="2"/>
  <c r="B10" i="5"/>
  <c r="B6" i="4"/>
  <c r="A8" i="2"/>
  <c r="B8" i="2"/>
  <c r="E8" i="2" l="1"/>
  <c r="D8" i="2"/>
  <c r="C6" i="4"/>
  <c r="B7" i="4"/>
  <c r="C7" i="4" s="1"/>
  <c r="C10" i="5"/>
  <c r="C11" i="5"/>
</calcChain>
</file>

<file path=xl/sharedStrings.xml><?xml version="1.0" encoding="utf-8"?>
<sst xmlns="http://schemas.openxmlformats.org/spreadsheetml/2006/main" count="19217" uniqueCount="1573">
  <si>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</si>
  <si>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</si>
  <si>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</si>
  <si>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</si>
  <si>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</si>
  <si>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</si>
  <si>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</si>
  <si>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</si>
  <si>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</si>
  <si>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</si>
  <si>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</si>
  <si>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</si>
  <si>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</si>
  <si>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</si>
  <si>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</si>
  <si>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</si>
  <si>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</si>
  <si>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</si>
  <si>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</si>
  <si>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</si>
  <si>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</si>
  <si>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</si>
  <si>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</si>
  <si>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</si>
  <si>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</si>
  <si>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</si>
  <si>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</si>
  <si>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</si>
  <si>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</si>
  <si>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</si>
  <si>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</si>
  <si>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</si>
  <si>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</si>
  <si>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</si>
  <si>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</si>
  <si>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</si>
  <si>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</si>
  <si>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</si>
  <si>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</si>
  <si>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</si>
  <si>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</si>
  <si>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</si>
  <si>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</si>
  <si>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</si>
  <si>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</si>
  <si>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</si>
  <si>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</si>
  <si>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</si>
  <si>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</si>
  <si>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</si>
  <si>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</si>
  <si>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</si>
  <si>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</si>
  <si>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</si>
  <si>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</si>
  <si>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</si>
  <si>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</si>
  <si>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</si>
  <si>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</si>
  <si>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</si>
  <si>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</si>
  <si>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</si>
  <si>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</si>
  <si>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</si>
  <si>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</si>
  <si>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</si>
  <si>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</si>
  <si>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</si>
  <si>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</si>
  <si>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</si>
  <si>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</si>
  <si>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</si>
  <si>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</si>
  <si>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</si>
  <si>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</si>
  <si>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</si>
  <si>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</si>
  <si>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</si>
  <si>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</si>
  <si>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</si>
  <si>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</si>
  <si>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</si>
  <si>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</si>
  <si>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</si>
  <si>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</si>
  <si>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</si>
  <si>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</si>
  <si>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</si>
  <si>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</si>
  <si>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</si>
  <si>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</si>
  <si>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</si>
  <si>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</si>
  <si>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</si>
  <si>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</si>
  <si>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</si>
  <si>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</si>
  <si>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</si>
  <si>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</si>
  <si>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</si>
  <si>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</si>
  <si>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</si>
  <si>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</si>
  <si>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</si>
  <si>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</si>
  <si>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</si>
  <si>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</si>
  <si>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</si>
  <si>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</si>
  <si>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</si>
  <si>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</si>
  <si>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</si>
  <si>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</si>
  <si>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</si>
  <si>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</si>
  <si>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</si>
  <si>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</si>
  <si>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</si>
  <si>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</si>
  <si>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</si>
  <si>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</si>
  <si>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</si>
  <si>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</si>
  <si>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</si>
  <si>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</si>
  <si>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</si>
  <si>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</si>
  <si>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</si>
  <si>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</si>
  <si>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</si>
  <si>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</si>
  <si>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</si>
  <si>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</si>
  <si>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</si>
  <si>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</si>
  <si>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</si>
  <si>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</si>
  <si>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</si>
  <si>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</si>
  <si>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</si>
  <si>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</si>
  <si>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</si>
  <si>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</si>
  <si>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</si>
  <si>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</si>
  <si>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</si>
  <si>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</si>
  <si>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</si>
  <si>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</si>
  <si>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</si>
  <si>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</si>
  <si>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</si>
  <si>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</si>
  <si>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</si>
  <si>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</si>
  <si>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</si>
  <si>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</si>
  <si>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</si>
  <si>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</si>
  <si>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</si>
  <si>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</si>
  <si>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</si>
  <si>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</si>
  <si>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</si>
  <si>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</si>
  <si>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</si>
  <si>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</si>
  <si>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</si>
  <si>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</si>
  <si>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</si>
  <si>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</si>
  <si>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</si>
  <si>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</si>
  <si>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</si>
  <si>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</si>
  <si>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</si>
  <si>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</si>
  <si>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</si>
  <si>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</si>
  <si>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</si>
  <si>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</si>
  <si>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</si>
  <si>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</si>
  <si>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</si>
  <si>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</si>
  <si>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</si>
  <si>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</si>
  <si>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</si>
  <si>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</si>
  <si>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</si>
  <si>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</si>
  <si>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</si>
  <si>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</si>
  <si>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</si>
  <si>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</si>
  <si>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</si>
  <si>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</si>
  <si>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</si>
  <si>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</si>
  <si>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</si>
  <si>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</si>
  <si>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</si>
  <si>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</si>
  <si>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</si>
  <si>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</si>
  <si>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</si>
  <si>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</si>
  <si>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</si>
  <si>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</si>
  <si>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</si>
  <si>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</si>
  <si>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</si>
  <si>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</si>
  <si>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</si>
  <si>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</si>
  <si>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</si>
  <si>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</si>
  <si>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</si>
  <si>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</si>
  <si>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</si>
  <si>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</si>
  <si>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</si>
  <si>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</si>
  <si>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</si>
  <si>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</si>
  <si>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</si>
  <si>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</si>
  <si>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</si>
  <si>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</si>
  <si>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</si>
  <si>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</si>
  <si>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</si>
  <si>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</si>
  <si>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</si>
  <si>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</si>
  <si>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</si>
  <si>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</si>
  <si>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</si>
  <si>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</si>
  <si>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</si>
  <si>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</si>
  <si>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</si>
  <si>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</si>
  <si>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</si>
  <si>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</si>
  <si>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</si>
  <si>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</si>
  <si>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</si>
  <si>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</si>
  <si>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</si>
  <si>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</si>
  <si>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</si>
  <si>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</si>
  <si>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</si>
  <si>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</si>
  <si>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</si>
  <si>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</si>
  <si>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</si>
  <si>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</si>
  <si>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</si>
  <si>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</si>
  <si>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</si>
  <si>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</si>
  <si>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</si>
  <si>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</si>
  <si>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</si>
  <si>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</si>
  <si>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</si>
  <si>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</si>
  <si>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</si>
  <si>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</si>
  <si>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</si>
  <si>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</si>
  <si>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</si>
  <si>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</si>
  <si>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</si>
  <si>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</si>
  <si>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</si>
  <si>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</si>
  <si>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</si>
  <si>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</si>
  <si>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</si>
  <si>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</si>
  <si>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</si>
  <si>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</si>
  <si>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</si>
  <si>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</si>
  <si>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</si>
  <si>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</si>
  <si>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</si>
  <si>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</si>
  <si>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</si>
  <si>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</si>
  <si>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</si>
  <si>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</si>
  <si>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</si>
  <si>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</si>
  <si>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</si>
  <si>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</si>
  <si>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</si>
  <si>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</si>
  <si>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</si>
  <si>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</si>
  <si>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</si>
  <si>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</si>
  <si>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</si>
  <si>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</si>
  <si>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</si>
  <si>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</si>
  <si>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</si>
  <si>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</si>
  <si>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</si>
  <si>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</si>
  <si>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</si>
  <si>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</si>
  <si>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</si>
  <si>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</si>
  <si>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</si>
  <si>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</si>
  <si>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</si>
  <si>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</si>
  <si>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</si>
  <si>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</si>
  <si>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</si>
  <si>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</si>
  <si>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</si>
  <si>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</si>
  <si>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</si>
  <si>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</si>
  <si>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</si>
  <si>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</si>
  <si>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</si>
  <si>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</si>
  <si>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</si>
  <si>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</si>
  <si>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</si>
  <si>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</si>
  <si>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</si>
  <si>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</si>
  <si>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</si>
  <si>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</si>
  <si>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</si>
  <si>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</si>
  <si>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</si>
  <si>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</si>
  <si>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</si>
  <si>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</si>
  <si>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</si>
  <si>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</si>
  <si>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</si>
  <si>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</si>
  <si>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</si>
  <si>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</si>
  <si>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</si>
  <si>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</si>
  <si>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</si>
  <si>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</si>
  <si>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</si>
  <si>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</si>
  <si>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</si>
  <si>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</si>
  <si>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</si>
  <si>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</si>
  <si>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</si>
  <si>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</si>
  <si>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</si>
  <si>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</si>
  <si>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</si>
  <si>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</si>
  <si>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</si>
  <si>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</si>
  <si>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</si>
  <si>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</si>
  <si>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</si>
  <si>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</si>
  <si>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</si>
  <si>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</si>
  <si>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</si>
  <si>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</si>
  <si>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</si>
  <si>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</si>
  <si>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</si>
  <si>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</si>
  <si>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</si>
  <si>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</si>
  <si>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</si>
  <si>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</si>
  <si>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</si>
  <si>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</si>
  <si>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</si>
  <si>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</si>
  <si>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</si>
  <si>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</si>
  <si>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</si>
  <si>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</si>
  <si>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</si>
  <si>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</si>
  <si>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</si>
  <si>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</si>
  <si>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</si>
  <si>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</si>
  <si>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</si>
  <si>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</si>
  <si>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</si>
  <si>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</si>
  <si>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</si>
  <si>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</si>
  <si>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</si>
  <si>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</si>
  <si>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</si>
  <si>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</si>
  <si>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</si>
  <si>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</si>
  <si>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</si>
  <si>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</si>
  <si>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</si>
  <si>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</si>
  <si>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</si>
  <si>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</si>
  <si>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</si>
  <si>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</si>
  <si>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</si>
  <si>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</si>
  <si>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</si>
  <si>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</si>
  <si>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</si>
  <si>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</si>
  <si>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</si>
  <si>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</si>
  <si>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</si>
  <si>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</si>
  <si>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</si>
  <si>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</si>
  <si>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</si>
  <si>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</si>
  <si>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</si>
  <si>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</si>
  <si>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</si>
  <si>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</si>
  <si>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</si>
  <si>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</si>
  <si>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</si>
  <si>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</si>
  <si>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</si>
  <si>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</si>
  <si>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</si>
  <si>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</si>
  <si>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</si>
  <si>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</si>
  <si>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</si>
  <si>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</si>
  <si>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</si>
  <si>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</si>
  <si>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</si>
  <si>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</si>
  <si>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</si>
  <si>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</si>
  <si>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</si>
  <si>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</si>
  <si>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</si>
  <si>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</si>
  <si>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</si>
  <si>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</si>
  <si>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</si>
  <si>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</si>
  <si>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</si>
  <si>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</si>
  <si>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</si>
  <si>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</si>
  <si>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</si>
  <si>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</si>
  <si>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</si>
  <si>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</si>
  <si>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</si>
  <si>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</si>
  <si>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</si>
  <si>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</si>
  <si>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</si>
  <si>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</si>
  <si>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</si>
  <si>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</si>
  <si>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</si>
  <si>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</si>
  <si>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</si>
  <si>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</si>
  <si>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</si>
  <si>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</si>
  <si>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</si>
  <si>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</si>
  <si>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</si>
  <si>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</si>
  <si>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</si>
  <si>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</si>
  <si>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</si>
  <si>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</si>
  <si>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</si>
  <si>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</si>
  <si>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</si>
  <si>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</si>
  <si>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</si>
  <si>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</si>
  <si>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</si>
  <si>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</si>
  <si>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</si>
  <si>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</si>
  <si>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</si>
  <si>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</si>
  <si>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</si>
  <si>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</si>
  <si>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</si>
  <si>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</si>
  <si>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</si>
  <si>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</si>
  <si>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</si>
  <si>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</si>
  <si>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</si>
  <si>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</si>
  <si>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</si>
  <si>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</si>
  <si>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</si>
  <si>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</si>
  <si>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</si>
  <si>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</si>
  <si>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</si>
  <si>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</si>
  <si>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</si>
  <si>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</si>
  <si>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</si>
  <si>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</si>
  <si>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</si>
  <si>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</si>
  <si>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</si>
  <si>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</si>
  <si>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</si>
  <si>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</si>
  <si>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</si>
  <si>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</si>
  <si>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</si>
  <si>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</si>
  <si>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</si>
  <si>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</si>
  <si>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</si>
  <si>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</si>
  <si>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</si>
  <si>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</si>
  <si>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</si>
  <si>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</si>
  <si>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</si>
  <si>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</si>
  <si>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</si>
  <si>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</si>
  <si>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</si>
  <si>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</si>
  <si>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</si>
  <si>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</si>
  <si>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</si>
  <si>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</si>
  <si>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</si>
  <si>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</si>
  <si>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</si>
  <si>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</si>
  <si>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</si>
  <si>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</si>
  <si>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</si>
  <si>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</si>
  <si>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</si>
  <si>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</si>
  <si>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</si>
  <si>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</si>
  <si>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</si>
  <si>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</si>
  <si>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</si>
  <si>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</si>
  <si>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</si>
  <si>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</si>
  <si>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</si>
  <si>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</si>
  <si>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</si>
  <si>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</si>
  <si>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</si>
  <si>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</si>
  <si>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</si>
  <si>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</si>
  <si>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</si>
  <si>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</si>
  <si>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</si>
  <si>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</si>
  <si>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</si>
  <si>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</si>
  <si>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</si>
  <si>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</si>
  <si>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</si>
  <si>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</si>
  <si>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</si>
  <si>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</si>
  <si>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</si>
  <si>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</si>
  <si>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</si>
  <si>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</si>
  <si>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</si>
  <si>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</si>
  <si>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</si>
  <si>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</si>
  <si>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</si>
  <si>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</si>
  <si>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</si>
  <si>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</si>
  <si>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</si>
  <si>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</si>
  <si>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</si>
  <si>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</si>
  <si>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</si>
  <si>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</si>
  <si>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</si>
  <si>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</si>
  <si>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</si>
  <si>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</si>
  <si>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</si>
  <si>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</si>
  <si>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</si>
  <si>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</si>
  <si>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</si>
  <si>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</si>
  <si>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</si>
  <si>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</si>
  <si>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</si>
  <si>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</si>
  <si>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</si>
  <si>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</si>
  <si>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</si>
  <si>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</si>
  <si>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</si>
  <si>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</si>
  <si>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</si>
  <si>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</si>
  <si>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</si>
  <si>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</si>
  <si>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</si>
  <si>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</si>
  <si>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</si>
  <si>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</si>
  <si>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</si>
  <si>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</si>
  <si>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</si>
  <si>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</si>
  <si>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</si>
  <si>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</si>
  <si>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</si>
  <si>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</si>
  <si>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</si>
  <si>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</si>
  <si>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</si>
  <si>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</si>
  <si>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</si>
  <si>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</si>
  <si>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</si>
  <si>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</si>
  <si>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</si>
  <si>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</si>
  <si>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</si>
  <si>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</si>
  <si>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</si>
  <si>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</si>
  <si>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</si>
  <si>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</si>
  <si>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</si>
  <si>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</si>
  <si>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</si>
  <si>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</si>
  <si>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</si>
  <si>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</si>
  <si>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</si>
  <si>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</si>
  <si>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</si>
  <si>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</si>
  <si>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</si>
  <si>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</si>
  <si>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</si>
  <si>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</si>
  <si>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</si>
  <si>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</si>
  <si>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</si>
  <si>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</si>
  <si>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</si>
  <si>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</si>
  <si>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</si>
  <si>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</si>
  <si>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</si>
  <si>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</si>
  <si>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</si>
  <si>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</si>
  <si>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</si>
  <si>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</si>
  <si>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</si>
  <si>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</si>
  <si>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</si>
  <si>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</si>
  <si>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</si>
  <si>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</si>
  <si>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</si>
  <si>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</si>
  <si>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</si>
  <si>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</si>
  <si>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</si>
  <si>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</si>
  <si>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</si>
  <si>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</si>
  <si>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</si>
  <si>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</si>
  <si>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</si>
  <si>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</si>
  <si>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</si>
  <si>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</si>
  <si>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</si>
  <si>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</si>
  <si>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</si>
  <si>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</si>
  <si>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</si>
  <si>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</si>
  <si>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</si>
  <si>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</si>
  <si>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</si>
  <si>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</si>
  <si>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</si>
  <si>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</si>
  <si>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</si>
  <si>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</si>
  <si>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</si>
  <si>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</si>
  <si>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</si>
  <si>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</si>
  <si>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</si>
  <si>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</si>
  <si>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</si>
  <si>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</si>
  <si>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</si>
  <si>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</si>
  <si>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</si>
  <si>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</si>
  <si>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</si>
  <si>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</si>
  <si>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</si>
  <si>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</si>
  <si>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</si>
  <si>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</si>
  <si>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</si>
  <si>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</si>
  <si>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</si>
  <si>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</si>
  <si>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</si>
  <si>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</si>
  <si>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</si>
  <si>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</si>
  <si>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</si>
  <si>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</si>
  <si>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</si>
  <si>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</si>
  <si>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</si>
  <si>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</si>
  <si>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</si>
  <si>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</si>
  <si>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</si>
  <si>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</si>
  <si>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</si>
  <si>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</si>
  <si>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</si>
  <si>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</si>
  <si>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</si>
  <si>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</si>
  <si>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</si>
  <si>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</si>
  <si>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</si>
  <si>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</si>
  <si>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</si>
  <si>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</si>
  <si>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</si>
  <si>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</si>
  <si>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</si>
  <si>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</si>
  <si>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</si>
  <si>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</si>
  <si>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</si>
  <si>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</si>
  <si>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</si>
  <si>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</si>
  <si>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</si>
  <si>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</si>
  <si>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</si>
  <si>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</si>
  <si>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</si>
  <si>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</si>
  <si>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</si>
  <si>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</si>
  <si>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</si>
  <si>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</si>
  <si>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</si>
  <si>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</si>
  <si>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</si>
  <si>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</si>
  <si>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</si>
  <si>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</si>
  <si>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</si>
  <si>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</si>
  <si>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</si>
  <si>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</si>
  <si>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</si>
  <si>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</si>
  <si>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</si>
  <si>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</si>
  <si>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</si>
  <si>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</si>
  <si>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</si>
  <si>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</si>
  <si>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</si>
  <si>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</si>
  <si>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</si>
  <si>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</si>
  <si>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</si>
  <si>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</si>
  <si>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</si>
  <si>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</si>
  <si>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</si>
  <si>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</si>
  <si>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</si>
  <si>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</si>
  <si>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</si>
  <si>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</si>
  <si>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</si>
  <si>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</si>
  <si>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</si>
  <si>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</si>
  <si>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</si>
  <si>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</si>
  <si>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</si>
  <si>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</si>
  <si>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</si>
  <si>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</si>
  <si>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</si>
  <si>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</si>
  <si>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</si>
  <si>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</si>
  <si>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</si>
  <si>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</si>
  <si>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</si>
  <si>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</si>
  <si>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</si>
  <si>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</si>
  <si>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</si>
  <si>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</si>
  <si>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</si>
  <si>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</si>
  <si>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</si>
  <si>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</si>
  <si>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</si>
  <si>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</si>
  <si>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</si>
  <si>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</si>
  <si>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</si>
  <si>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</si>
  <si>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</si>
  <si>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</si>
  <si>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</si>
  <si>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</si>
  <si>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</si>
  <si>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</si>
  <si>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</si>
  <si>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</si>
  <si>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</si>
  <si>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</si>
  <si>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</si>
  <si>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</si>
  <si>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</si>
  <si>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</si>
  <si>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</si>
  <si>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</si>
  <si>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</si>
  <si>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</si>
  <si>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</si>
  <si>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</si>
  <si>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</si>
  <si>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</si>
  <si>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</si>
  <si>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</si>
  <si>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</si>
  <si>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</si>
  <si>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</si>
  <si>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</si>
  <si>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</si>
  <si>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</si>
  <si>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</si>
  <si>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</si>
  <si>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</si>
  <si>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</si>
  <si>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</si>
  <si>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</si>
  <si>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</si>
  <si>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</si>
  <si>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</si>
  <si>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</si>
  <si>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</si>
  <si>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</si>
  <si>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</si>
  <si>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</si>
  <si>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</si>
  <si>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</si>
  <si>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</si>
  <si>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</si>
  <si>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</si>
  <si>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</si>
  <si>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</si>
  <si>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</si>
  <si>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</si>
  <si>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</si>
  <si>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</si>
  <si>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</si>
  <si>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</si>
  <si>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</si>
  <si>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</si>
  <si>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</si>
  <si>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</si>
  <si>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</si>
  <si>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</si>
  <si>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</si>
  <si>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</si>
  <si>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</si>
  <si>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</si>
  <si>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</si>
  <si>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</si>
  <si>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</si>
  <si>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</si>
  <si>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</si>
  <si>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</si>
  <si>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</si>
  <si>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</si>
  <si>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</si>
  <si>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</si>
  <si>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</si>
  <si>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</si>
  <si>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</si>
  <si>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</si>
  <si>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</si>
  <si>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</si>
  <si>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</si>
  <si>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</si>
  <si>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</si>
  <si>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</si>
  <si>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</si>
  <si>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</si>
  <si>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</si>
  <si>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</si>
  <si>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</si>
  <si>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</si>
  <si>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</si>
  <si>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</si>
  <si>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</si>
  <si>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</si>
  <si>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</si>
  <si>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</si>
  <si>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</si>
  <si>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</si>
  <si>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</si>
  <si>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</si>
  <si>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</si>
  <si>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</si>
  <si>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</si>
  <si>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</si>
  <si>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</si>
  <si>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</si>
  <si>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</si>
  <si>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</si>
  <si>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</si>
  <si>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</si>
  <si>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</si>
  <si>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</si>
  <si>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</si>
  <si>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</si>
  <si>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</si>
  <si>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</si>
  <si>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</si>
  <si>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</si>
  <si>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</si>
  <si>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</si>
  <si>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</si>
  <si>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</si>
  <si>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</si>
  <si>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</si>
  <si>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</si>
  <si>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</si>
  <si>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</si>
  <si>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</si>
  <si>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</si>
  <si>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</si>
  <si>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</si>
  <si>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</si>
  <si>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</si>
  <si>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</si>
  <si>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</si>
  <si>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</si>
  <si>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</si>
  <si>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</si>
  <si>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</si>
  <si>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</si>
  <si>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</si>
  <si>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</si>
  <si>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</si>
  <si>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</si>
  <si>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</si>
  <si>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</si>
  <si>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</si>
  <si>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</si>
  <si>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</si>
  <si>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</si>
  <si>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</si>
  <si>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</si>
  <si>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</si>
  <si>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</si>
  <si>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</si>
  <si>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</si>
  <si>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</si>
  <si>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</si>
  <si>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</si>
  <si>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</si>
  <si>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</si>
  <si>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</si>
  <si>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</si>
  <si>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</si>
  <si>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</si>
  <si>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</si>
  <si>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</si>
  <si>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</si>
  <si>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</si>
  <si>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</si>
  <si>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</si>
  <si>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</si>
  <si>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</si>
  <si>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</si>
  <si>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</si>
  <si>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</si>
  <si>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</si>
  <si>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</si>
  <si>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</si>
  <si>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</si>
  <si>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</si>
  <si>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</si>
  <si>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</si>
  <si>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</si>
  <si>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</si>
  <si>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</si>
  <si>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</si>
  <si>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</si>
  <si>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</si>
  <si>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</si>
  <si>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</si>
  <si>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</si>
  <si>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</si>
  <si>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</si>
  <si>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</si>
  <si>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</si>
  <si>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</si>
  <si>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</si>
  <si>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</si>
  <si>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</si>
  <si>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</si>
  <si>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</si>
  <si>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</si>
  <si>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</si>
  <si>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</si>
  <si>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</si>
  <si>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</si>
  <si>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</si>
  <si>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</si>
  <si>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</si>
  <si>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</si>
  <si>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</si>
  <si>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</si>
  <si>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</si>
  <si>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</si>
  <si>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</si>
  <si>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</si>
  <si>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</si>
  <si>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</si>
  <si>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</si>
  <si>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</si>
  <si>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</si>
  <si>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</si>
  <si>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</si>
  <si>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</si>
  <si>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</si>
  <si>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</si>
  <si>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</si>
  <si>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</si>
  <si>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</si>
  <si>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</si>
  <si>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</si>
  <si>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</si>
  <si>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</si>
  <si>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</si>
  <si>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</si>
  <si>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</si>
  <si>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</si>
  <si>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</si>
  <si>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</si>
  <si>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</si>
  <si>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</si>
  <si>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</si>
  <si>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</si>
  <si>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</si>
  <si>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</si>
  <si>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</si>
  <si>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</si>
  <si>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</si>
  <si>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</si>
  <si>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</si>
  <si>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</si>
  <si>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</si>
  <si>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</si>
  <si>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</si>
  <si>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</si>
  <si>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</si>
  <si>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</si>
  <si>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</si>
  <si>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</si>
  <si>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</si>
  <si>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</si>
  <si>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</si>
  <si>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</si>
  <si>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</si>
  <si>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</si>
  <si>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</si>
  <si>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</si>
  <si>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</si>
  <si>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</si>
  <si>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</si>
  <si>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</si>
  <si>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</si>
  <si>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</si>
  <si>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</si>
  <si>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</si>
  <si>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</si>
  <si>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</si>
  <si>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</si>
  <si>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</si>
  <si>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</si>
  <si>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</si>
  <si>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</si>
  <si>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</si>
  <si>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</si>
  <si>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</si>
  <si>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</si>
  <si>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</si>
  <si>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</si>
  <si>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</si>
  <si>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</si>
  <si>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</si>
  <si>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</si>
  <si>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</si>
  <si>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</si>
  <si>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</si>
  <si>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</si>
  <si>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</si>
  <si>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</si>
  <si>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</si>
  <si>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</si>
  <si>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</si>
  <si>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</si>
  <si>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</si>
  <si>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</si>
  <si>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</si>
  <si>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</si>
  <si>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</si>
  <si>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</si>
  <si>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</si>
  <si>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</si>
  <si>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</si>
  <si>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</si>
  <si>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</si>
  <si>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</si>
  <si>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</si>
  <si>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</si>
  <si>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</si>
  <si>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</si>
  <si>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</si>
  <si>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</si>
  <si>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</si>
  <si>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</si>
  <si>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</si>
  <si>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</si>
  <si>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</si>
  <si>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</si>
  <si>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</si>
  <si>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</si>
  <si>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</si>
  <si>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</si>
  <si>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</si>
  <si>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</si>
  <si>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</si>
  <si>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</si>
  <si>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</si>
  <si>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</si>
  <si>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</si>
  <si>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</si>
  <si>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</si>
  <si>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</si>
  <si>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</si>
  <si>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</si>
  <si>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</si>
  <si>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</si>
  <si>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</si>
  <si>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</si>
  <si>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</si>
  <si>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</si>
  <si>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</si>
  <si>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</si>
  <si>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</si>
  <si>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</si>
  <si>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</si>
  <si>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</si>
  <si>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</si>
  <si>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</si>
  <si>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</si>
  <si>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</si>
  <si>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</si>
  <si>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</si>
  <si>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</si>
  <si>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</si>
  <si>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</si>
  <si>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</si>
  <si>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</si>
  <si>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</si>
  <si>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</si>
  <si>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</si>
  <si>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</si>
  <si>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</si>
  <si>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</si>
  <si>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</si>
  <si>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</si>
  <si>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</si>
  <si>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</si>
  <si>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</si>
  <si>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</si>
  <si>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</si>
  <si>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</si>
  <si>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</si>
  <si>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</si>
  <si>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</si>
  <si>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</si>
  <si>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</si>
  <si>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</si>
  <si>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</si>
  <si>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</si>
  <si>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</si>
  <si>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</si>
  <si>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</si>
  <si>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</si>
  <si>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</si>
  <si>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</si>
  <si>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</si>
  <si>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</si>
  <si>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</si>
  <si>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</si>
  <si>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</si>
  <si>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</si>
  <si>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</si>
  <si>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</si>
  <si>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</si>
  <si>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</si>
  <si>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</si>
  <si>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</si>
  <si>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</si>
  <si>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</si>
  <si>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</si>
  <si>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</si>
  <si>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</si>
  <si>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</si>
  <si>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</si>
  <si>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</si>
  <si>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</si>
  <si>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</si>
  <si>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</si>
  <si>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</si>
  <si>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</si>
  <si>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</si>
  <si>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</si>
  <si>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</si>
  <si>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</si>
  <si>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</si>
  <si>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</si>
  <si>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</si>
  <si>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</si>
  <si>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</si>
  <si>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</si>
  <si>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</si>
  <si>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</si>
  <si>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</si>
  <si>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</si>
  <si>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</si>
  <si>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</si>
  <si>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</si>
  <si>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</si>
  <si>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</si>
  <si>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</si>
  <si>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</si>
  <si>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</si>
  <si>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</si>
  <si>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</si>
  <si>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</si>
  <si>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</si>
  <si>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</si>
  <si>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</si>
  <si>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</si>
  <si>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</si>
  <si>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</si>
  <si>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</si>
  <si>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</si>
  <si>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</si>
  <si>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</si>
  <si>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</si>
  <si>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</si>
  <si>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</si>
  <si>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</si>
  <si>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</si>
  <si>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</si>
  <si>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</si>
  <si>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</si>
  <si>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</si>
  <si>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</si>
  <si>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</si>
  <si>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</si>
  <si>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</si>
  <si>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</si>
  <si>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</si>
  <si>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</si>
  <si>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</si>
  <si>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</si>
  <si>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</si>
  <si>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</si>
  <si>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</si>
  <si>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</si>
  <si>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</si>
  <si>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</si>
  <si>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</si>
  <si>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</si>
  <si>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</si>
  <si>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</si>
  <si>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</si>
  <si>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</si>
  <si>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</si>
  <si>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</si>
  <si>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</si>
  <si>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</si>
  <si>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</si>
  <si>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</si>
  <si>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</si>
  <si>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</si>
  <si>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</si>
  <si>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</si>
  <si>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</si>
  <si>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</si>
  <si>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</si>
  <si>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</si>
  <si>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</si>
  <si>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</si>
  <si>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</si>
  <si>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</si>
  <si>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</si>
  <si>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</si>
  <si>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</si>
  <si>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</si>
  <si>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</si>
  <si>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</si>
  <si>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</si>
  <si>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</si>
  <si>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</si>
  <si>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</si>
  <si>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</si>
  <si>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</si>
  <si>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</si>
  <si>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</si>
  <si>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</si>
  <si>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</si>
  <si>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</si>
  <si>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</si>
  <si>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</si>
  <si>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</si>
  <si>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</si>
  <si>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</si>
  <si>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</si>
  <si>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</si>
  <si>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</si>
  <si>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</si>
  <si>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</si>
  <si>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</si>
  <si>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</si>
  <si>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</si>
  <si>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</si>
  <si>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</si>
  <si>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</si>
  <si>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</si>
  <si>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</si>
  <si>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</si>
  <si>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</si>
  <si>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</si>
  <si>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</si>
  <si>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</si>
  <si>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</si>
  <si>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</si>
  <si>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</si>
  <si>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</si>
  <si>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</si>
  <si>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</si>
  <si>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</si>
  <si>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</si>
  <si>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</si>
  <si>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</si>
  <si>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</si>
  <si>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</si>
  <si>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</si>
  <si>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</si>
  <si>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</si>
  <si>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</si>
  <si>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</si>
  <si>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</si>
  <si>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</si>
  <si>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</si>
  <si>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</si>
  <si>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</si>
  <si>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</si>
  <si>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</si>
  <si>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</si>
  <si>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</si>
  <si>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</si>
  <si>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</si>
  <si>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</si>
  <si>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</si>
  <si>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</si>
  <si>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</si>
  <si>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</si>
  <si>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</si>
  <si>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</si>
  <si>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</si>
  <si>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</si>
  <si>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</si>
  <si>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</si>
  <si>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</si>
  <si>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</si>
  <si>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</si>
  <si>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</si>
  <si>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</si>
  <si>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</si>
  <si>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</si>
  <si>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</si>
  <si>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</si>
  <si>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</si>
  <si>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</si>
  <si>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</si>
  <si>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</si>
  <si>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</si>
  <si>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</si>
  <si>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</si>
  <si>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</si>
  <si>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</si>
  <si>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</si>
  <si>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</si>
  <si>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</si>
  <si>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</si>
  <si>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</si>
  <si>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</si>
  <si>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</si>
  <si>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</si>
  <si>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</si>
  <si>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</si>
  <si>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</si>
  <si>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</si>
  <si>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</si>
  <si>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</si>
  <si>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</si>
  <si>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</si>
  <si>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</si>
  <si>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</si>
  <si>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</si>
  <si>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</si>
  <si>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</si>
  <si>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</si>
  <si>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</si>
  <si>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</si>
  <si>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</si>
  <si>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</si>
  <si>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</si>
  <si>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</si>
  <si>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</si>
  <si>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</si>
  <si>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</si>
  <si>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</si>
  <si>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</si>
  <si>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</si>
  <si>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</si>
  <si>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</si>
  <si>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</si>
  <si>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</si>
  <si>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</si>
  <si>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</si>
  <si>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</si>
  <si>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</si>
  <si>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</si>
  <si>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</si>
  <si>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</si>
  <si>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</si>
  <si>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</si>
  <si>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</si>
  <si>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</si>
  <si>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</si>
  <si>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</si>
  <si>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</si>
  <si>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</si>
  <si>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</si>
  <si>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</si>
  <si>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</si>
  <si>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</si>
  <si>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</si>
  <si>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</si>
  <si>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</si>
  <si>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</si>
  <si>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</si>
  <si>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</si>
  <si>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</si>
  <si>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</si>
  <si>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</si>
  <si>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</si>
  <si>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</si>
  <si>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</si>
  <si>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</si>
  <si>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</si>
  <si>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</si>
  <si>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</si>
  <si>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</si>
  <si>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</si>
  <si>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</si>
  <si>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</si>
  <si>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</si>
  <si>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</si>
  <si>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</si>
  <si>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</si>
  <si>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</si>
  <si>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</si>
  <si>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</si>
  <si>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</si>
  <si>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</si>
  <si>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</si>
  <si>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</si>
  <si>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</si>
  <si>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</si>
  <si>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</si>
  <si>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</si>
  <si>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</si>
  <si>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Count of Employee Number</t>
  </si>
  <si>
    <t>Sum of CF_attrition count</t>
  </si>
  <si>
    <t>Average of Age</t>
  </si>
  <si>
    <t>Total Employee</t>
  </si>
  <si>
    <t>Attrition Count</t>
  </si>
  <si>
    <t xml:space="preserve">Average Age </t>
  </si>
  <si>
    <t>Attrition Rate</t>
  </si>
  <si>
    <t>Active Employees</t>
  </si>
  <si>
    <t>Average of Job Satisfaction</t>
  </si>
  <si>
    <t>Rating</t>
  </si>
  <si>
    <t>Balance Rating</t>
  </si>
  <si>
    <t>#Rating is out of 4</t>
  </si>
  <si>
    <t>Row Labels</t>
  </si>
  <si>
    <t>Grand Total</t>
  </si>
  <si>
    <t>Sum of Employee Count</t>
  </si>
  <si>
    <t>cf</t>
  </si>
  <si>
    <t>att</t>
  </si>
  <si>
    <t>Count of Attrition</t>
  </si>
  <si>
    <t>Marital Satus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</si>
</sst>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33" borderId="0" xfId="0" applyFill="1"/>
    <xf numFmtId="0" fontId="18" fillId="33" borderId="0" xfId="0" applyFont="1" applyFill="1"/>
    <xf numFmtId="0" fontId="0" fillId="0" borderId="0" xfId="0" pivotButton="1"/>
    <xf numFmtId="0" fontId="0" fillId="0" borderId="0" xfId="0" applyAlignment="1">
      <alignment horizontal="left"/>
    </xf>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numFmt numFmtId="164" formatCode="0.0"/>
    </dxf>
    <dxf>
      <fill>
        <patternFill>
          <bgColor theme="0" tint="-4.9989318521683403E-2"/>
        </patternFill>
      </fill>
    </dxf>
  </dxfs>
  <tableStyles count="2" defaultTableStyle="TableStyleMedium2" defaultPivotStyle="PivotStyleLight16">
    <tableStyle name="Invisible" pivot="0" table="0" count="0" xr9:uid="{7C8B07CF-736B-4A52-B836-40DC052EFBD2}"/>
    <tableStyle name="Slicer Style 1" pivot="0" table="0" count="4" xr9:uid="{4602CF06-1018-42CF-B1B6-4702C3906B57}">
      <tableStyleElement type="wholeTable" dxfId="1"/>
    </tableStyle>
  </tableStyles>
  <colors>
    <mruColors>
      <color rgb="FFBC5610"/>
      <color rgb="FFE2B46A"/>
      <color rgb="FF26A238"/>
      <color rgb="FF602928"/>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none"/>
          </font>
          <fill>
            <gradientFill>
              <stop position="0">
                <color theme="9" tint="-0.25098422193060094"/>
              </stop>
              <stop position="1">
                <color theme="9" tint="0.40000610370189521"/>
              </stop>
            </gradientFill>
          </fill>
        </dxf>
        <dxf>
          <fill>
            <gradientFill>
              <stop position="0">
                <color theme="2" tint="-0.74901577806939912"/>
              </stop>
              <stop position="1">
                <color theme="0" tint="-0.3490096743675039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58-4BCD-9F74-50A4D4D007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58-4BCD-9F74-50A4D4D00775}"/>
              </c:ext>
            </c:extLst>
          </c:dPt>
          <c:val>
            <c:numRef>
              <c:f>(Rating!$C$6,Rating!$C$7)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9FED-4CDF-B0B8-D3AFC95F828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FA5F-450D-9F11-91BD02AEC485}"/>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FA5F-450D-9F11-91BD02AEC485}"/>
            </c:ext>
          </c:extLst>
        </c:ser>
        <c:dLbls>
          <c:showLegendKey val="0"/>
          <c:showVal val="0"/>
          <c:showCatName val="0"/>
          <c:showSerName val="0"/>
          <c:showPercent val="0"/>
          <c:showBubbleSize val="0"/>
        </c:dLbls>
        <c:gapWidth val="0"/>
        <c:overlap val="100"/>
        <c:axId val="1637496143"/>
        <c:axId val="1637493743"/>
      </c:barChart>
      <c:catAx>
        <c:axId val="1637496143"/>
        <c:scaling>
          <c:orientation val="minMax"/>
        </c:scaling>
        <c:delete val="1"/>
        <c:axPos val="l"/>
        <c:majorTickMark val="out"/>
        <c:minorTickMark val="none"/>
        <c:tickLblPos val="nextTo"/>
        <c:crossAx val="1637493743"/>
        <c:crosses val="autoZero"/>
        <c:auto val="1"/>
        <c:lblAlgn val="ctr"/>
        <c:lblOffset val="100"/>
        <c:noMultiLvlLbl val="0"/>
      </c:catAx>
      <c:valAx>
        <c:axId val="1637493743"/>
        <c:scaling>
          <c:orientation val="minMax"/>
          <c:max val="4"/>
        </c:scaling>
        <c:delete val="1"/>
        <c:axPos val="b"/>
        <c:numFmt formatCode="0.0" sourceLinked="1"/>
        <c:majorTickMark val="out"/>
        <c:minorTickMark val="none"/>
        <c:tickLblPos val="nextTo"/>
        <c:crossAx val="163749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82889733840305"/>
          <c:y val="0.10526315789473684"/>
          <c:w val="0.58301647655259825"/>
          <c:h val="0.8070175438596490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46-4886-99CC-D785FD3847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46-4886-99CC-D785FD3847BE}"/>
              </c:ext>
            </c:extLst>
          </c:dPt>
          <c:val>
            <c:numRef>
              <c:f>(Gender!$C$10,Gender!$C$11)</c:f>
              <c:numCache>
                <c:formatCode>0%</c:formatCode>
                <c:ptCount val="2"/>
                <c:pt idx="0">
                  <c:v>0.4</c:v>
                </c:pt>
                <c:pt idx="1">
                  <c:v>0.6</c:v>
                </c:pt>
              </c:numCache>
            </c:numRef>
          </c:val>
          <c:extLst>
            <c:ext xmlns:c16="http://schemas.microsoft.com/office/drawing/2014/chart" uri="{C3380CC4-5D6E-409C-BE32-E72D297353CC}">
              <c16:uniqueId val="{00000000-B521-40F7-A356-7D6868F988D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D8B-40BD-A1FE-2FE3EDBC4810}"/>
            </c:ext>
          </c:extLst>
        </c:ser>
        <c:dLbls>
          <c:dLblPos val="outEnd"/>
          <c:showLegendKey val="0"/>
          <c:showVal val="1"/>
          <c:showCatName val="0"/>
          <c:showSerName val="0"/>
          <c:showPercent val="0"/>
          <c:showBubbleSize val="0"/>
        </c:dLbls>
        <c:gapWidth val="182"/>
        <c:axId val="1517974191"/>
        <c:axId val="1517973711"/>
      </c:barChart>
      <c:catAx>
        <c:axId val="1517974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973711"/>
        <c:crosses val="autoZero"/>
        <c:auto val="1"/>
        <c:lblAlgn val="ctr"/>
        <c:lblOffset val="100"/>
        <c:noMultiLvlLbl val="0"/>
      </c:catAx>
      <c:valAx>
        <c:axId val="1517973711"/>
        <c:scaling>
          <c:orientation val="minMax"/>
        </c:scaling>
        <c:delete val="1"/>
        <c:axPos val="b"/>
        <c:numFmt formatCode="General" sourceLinked="1"/>
        <c:majorTickMark val="out"/>
        <c:minorTickMark val="none"/>
        <c:tickLblPos val="nextTo"/>
        <c:crossAx val="15179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Project.xlsx]Dept wise Attrition!Dept wise Attrition</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824-4152-9A93-5F8E370945E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824-4152-9A93-5F8E370945E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824-4152-9A93-5F8E370945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D824-4152-9A93-5F8E370945E8}"/>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Project.xlsx]Attrition by Age Group!Attrition by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CE8-4E68-AC8C-72D7085F0693}"/>
            </c:ext>
          </c:extLst>
        </c:ser>
        <c:dLbls>
          <c:showLegendKey val="0"/>
          <c:showVal val="0"/>
          <c:showCatName val="0"/>
          <c:showSerName val="0"/>
          <c:showPercent val="0"/>
          <c:showBubbleSize val="0"/>
        </c:dLbls>
        <c:gapWidth val="219"/>
        <c:overlap val="-27"/>
        <c:axId val="1586990847"/>
        <c:axId val="1586992287"/>
      </c:barChart>
      <c:catAx>
        <c:axId val="158699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92287"/>
        <c:crosses val="autoZero"/>
        <c:auto val="1"/>
        <c:lblAlgn val="ctr"/>
        <c:lblOffset val="100"/>
        <c:noMultiLvlLbl val="0"/>
      </c:catAx>
      <c:valAx>
        <c:axId val="1586992287"/>
        <c:scaling>
          <c:orientation val="minMax"/>
        </c:scaling>
        <c:delete val="1"/>
        <c:axPos val="l"/>
        <c:numFmt formatCode="General" sourceLinked="1"/>
        <c:majorTickMark val="none"/>
        <c:minorTickMark val="none"/>
        <c:tickLblPos val="nextTo"/>
        <c:crossAx val="158699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822437282629765E-2"/>
          <c:y val="0.18965555862522121"/>
          <c:w val="0.88691587536785732"/>
          <c:h val="0.58275777102451332"/>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5887-4F9B-A2D9-64F5D9086D53}"/>
            </c:ext>
          </c:extLst>
        </c:ser>
        <c:ser>
          <c:idx val="1"/>
          <c:order val="1"/>
          <c:spPr>
            <a:solidFill>
              <a:schemeClr val="bg1">
                <a:lumMod val="9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5887-4F9B-A2D9-64F5D9086D53}"/>
            </c:ext>
          </c:extLst>
        </c:ser>
        <c:dLbls>
          <c:showLegendKey val="0"/>
          <c:showVal val="0"/>
          <c:showCatName val="0"/>
          <c:showSerName val="0"/>
          <c:showPercent val="0"/>
          <c:showBubbleSize val="0"/>
        </c:dLbls>
        <c:gapWidth val="0"/>
        <c:overlap val="100"/>
        <c:axId val="1637496143"/>
        <c:axId val="1637493743"/>
      </c:barChart>
      <c:catAx>
        <c:axId val="1637496143"/>
        <c:scaling>
          <c:orientation val="minMax"/>
        </c:scaling>
        <c:delete val="1"/>
        <c:axPos val="l"/>
        <c:majorTickMark val="out"/>
        <c:minorTickMark val="none"/>
        <c:tickLblPos val="nextTo"/>
        <c:crossAx val="1637493743"/>
        <c:crosses val="autoZero"/>
        <c:auto val="1"/>
        <c:lblAlgn val="ctr"/>
        <c:lblOffset val="100"/>
        <c:noMultiLvlLbl val="0"/>
      </c:catAx>
      <c:valAx>
        <c:axId val="1637493743"/>
        <c:scaling>
          <c:orientation val="minMax"/>
          <c:max val="4"/>
        </c:scaling>
        <c:delete val="1"/>
        <c:axPos val="b"/>
        <c:numFmt formatCode="0.0" sourceLinked="1"/>
        <c:majorTickMark val="out"/>
        <c:minorTickMark val="none"/>
        <c:tickLblPos val="nextTo"/>
        <c:crossAx val="163749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997942912575946"/>
          <c:y val="8.0482982390914934E-2"/>
          <c:w val="0.48170780119729706"/>
          <c:h val="0.70489573123331195"/>
        </c:manualLayout>
      </c:layout>
      <c:doughnutChart>
        <c:varyColors val="1"/>
        <c:ser>
          <c:idx val="0"/>
          <c:order val="0"/>
          <c:spPr>
            <a:ln>
              <a:solidFill>
                <a:srgbClr val="7F7F7F">
                  <a:alpha val="68000"/>
                </a:srgbClr>
              </a:solidFill>
            </a:ln>
          </c:spPr>
          <c:dPt>
            <c:idx val="0"/>
            <c:bubble3D val="0"/>
            <c:spPr>
              <a:gradFill>
                <a:gsLst>
                  <a:gs pos="0">
                    <a:srgbClr val="002060"/>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9387-4833-9852-0D0916358157}"/>
              </c:ext>
            </c:extLst>
          </c:dPt>
          <c:dPt>
            <c:idx val="1"/>
            <c:bubble3D val="0"/>
            <c:spPr>
              <a:solidFill>
                <a:schemeClr val="bg1">
                  <a:lumMod val="85000"/>
                  <a:alpha val="50000"/>
                </a:schemeClr>
              </a:solidFill>
              <a:ln w="19050">
                <a:noFill/>
              </a:ln>
              <a:effectLst/>
            </c:spPr>
            <c:extLst>
              <c:ext xmlns:c16="http://schemas.microsoft.com/office/drawing/2014/chart" uri="{C3380CC4-5D6E-409C-BE32-E72D297353CC}">
                <c16:uniqueId val="{00000003-9387-4833-9852-0D0916358157}"/>
              </c:ext>
            </c:extLst>
          </c:dPt>
          <c:val>
            <c:numRef>
              <c:f>(Rating!$C$6,Rating!$C$7)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9387-4833-9852-0D091635815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14321926489224"/>
          <c:y val="0.12280701754385964"/>
          <c:w val="0.58301647655259825"/>
          <c:h val="0.80701754385964908"/>
        </c:manualLayout>
      </c:layout>
      <c:doughnutChart>
        <c:varyColors val="1"/>
        <c:ser>
          <c:idx val="0"/>
          <c:order val="0"/>
          <c:spPr>
            <a:ln>
              <a:noFill/>
            </a:ln>
          </c:spPr>
          <c:dPt>
            <c:idx val="0"/>
            <c:bubble3D val="0"/>
            <c:spPr>
              <a:gradFill>
                <a:gsLst>
                  <a:gs pos="0">
                    <a:schemeClr val="accent5">
                      <a:lumMod val="50000"/>
                    </a:schemeClr>
                  </a:gs>
                  <a:gs pos="100000">
                    <a:schemeClr val="accent5">
                      <a:lumMod val="40000"/>
                      <a:lumOff val="60000"/>
                    </a:schemeClr>
                  </a:gs>
                </a:gsLst>
                <a:lin ang="5400000" scaled="1"/>
              </a:gradFill>
              <a:ln w="19050">
                <a:noFill/>
              </a:ln>
              <a:effectLst/>
            </c:spPr>
            <c:extLst>
              <c:ext xmlns:c16="http://schemas.microsoft.com/office/drawing/2014/chart" uri="{C3380CC4-5D6E-409C-BE32-E72D297353CC}">
                <c16:uniqueId val="{00000001-7B75-4C79-BFCD-25EBD725235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B75-4C79-BFCD-25EBD725235A}"/>
              </c:ext>
            </c:extLst>
          </c:dPt>
          <c:val>
            <c:numRef>
              <c:f>(Gender!$C$10,Gender!$C$11)</c:f>
              <c:numCache>
                <c:formatCode>0%</c:formatCode>
                <c:ptCount val="2"/>
                <c:pt idx="0">
                  <c:v>0.4</c:v>
                </c:pt>
                <c:pt idx="1">
                  <c:v>0.6</c:v>
                </c:pt>
              </c:numCache>
            </c:numRef>
          </c:val>
          <c:extLst>
            <c:ext xmlns:c16="http://schemas.microsoft.com/office/drawing/2014/chart" uri="{C3380CC4-5D6E-409C-BE32-E72D297353CC}">
              <c16:uniqueId val="{00000004-7B75-4C79-BFCD-25EBD725235A}"/>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14321926489224"/>
          <c:y val="0.12280701754385964"/>
          <c:w val="0.58301647655259825"/>
          <c:h val="0.80701754385964908"/>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F140-4EE8-8A25-16DB6B8689AA}"/>
              </c:ext>
            </c:extLst>
          </c:dPt>
          <c:dPt>
            <c:idx val="1"/>
            <c:bubble3D val="0"/>
            <c:spPr>
              <a:gradFill>
                <a:gsLst>
                  <a:gs pos="0">
                    <a:schemeClr val="accent1">
                      <a:lumMod val="50000"/>
                    </a:schemeClr>
                  </a:gs>
                  <a:gs pos="100000">
                    <a:schemeClr val="tx2">
                      <a:lumMod val="25000"/>
                      <a:lumOff val="75000"/>
                    </a:schemeClr>
                  </a:gs>
                </a:gsLst>
                <a:lin ang="5400000" scaled="1"/>
              </a:gradFill>
              <a:ln w="19050">
                <a:noFill/>
              </a:ln>
              <a:effectLst/>
            </c:spPr>
            <c:extLst>
              <c:ext xmlns:c16="http://schemas.microsoft.com/office/drawing/2014/chart" uri="{C3380CC4-5D6E-409C-BE32-E72D297353CC}">
                <c16:uniqueId val="{00000003-F140-4EE8-8A25-16DB6B8689AA}"/>
              </c:ext>
            </c:extLst>
          </c:dPt>
          <c:val>
            <c:numRef>
              <c:f>(Gender!$C$10,Gender!$C$11)</c:f>
              <c:numCache>
                <c:formatCode>0%</c:formatCode>
                <c:ptCount val="2"/>
                <c:pt idx="0">
                  <c:v>0.4</c:v>
                </c:pt>
                <c:pt idx="1">
                  <c:v>0.6</c:v>
                </c:pt>
              </c:numCache>
            </c:numRef>
          </c:val>
          <c:extLst>
            <c:ext xmlns:c16="http://schemas.microsoft.com/office/drawing/2014/chart" uri="{C3380CC4-5D6E-409C-BE32-E72D297353CC}">
              <c16:uniqueId val="{00000004-F140-4EE8-8A25-16DB6B8689A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60000"/>
                  <a:lumOff val="4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2">
                    <a:lumMod val="60000"/>
                    <a:lumOff val="4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D64-4AF9-B8AF-BDED8AFBEC4E}"/>
            </c:ext>
          </c:extLst>
        </c:ser>
        <c:dLbls>
          <c:dLblPos val="outEnd"/>
          <c:showLegendKey val="0"/>
          <c:showVal val="1"/>
          <c:showCatName val="0"/>
          <c:showSerName val="0"/>
          <c:showPercent val="0"/>
          <c:showBubbleSize val="0"/>
        </c:dLbls>
        <c:gapWidth val="77"/>
        <c:axId val="1517974191"/>
        <c:axId val="1517973711"/>
      </c:barChart>
      <c:catAx>
        <c:axId val="1517974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17973711"/>
        <c:crosses val="autoZero"/>
        <c:auto val="1"/>
        <c:lblAlgn val="ctr"/>
        <c:lblOffset val="100"/>
        <c:noMultiLvlLbl val="0"/>
      </c:catAx>
      <c:valAx>
        <c:axId val="1517973711"/>
        <c:scaling>
          <c:orientation val="minMax"/>
        </c:scaling>
        <c:delete val="1"/>
        <c:axPos val="b"/>
        <c:numFmt formatCode="General" sourceLinked="1"/>
        <c:majorTickMark val="out"/>
        <c:minorTickMark val="none"/>
        <c:tickLblPos val="nextTo"/>
        <c:crossAx val="15179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Project.xlsx]Dept wise Attrition!Dept wise Attrition</c:name>
    <c:fmtId val="7"/>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rgbClr val="26A238"/>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B52-4C48-AE17-E96E2C99260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B52-4C48-AE17-E96E2C99260B}"/>
              </c:ext>
            </c:extLst>
          </c:dPt>
          <c:dPt>
            <c:idx val="2"/>
            <c:bubble3D val="0"/>
            <c:spPr>
              <a:solidFill>
                <a:srgbClr val="26A23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B52-4C48-AE17-E96E2C99260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AB52-4C48-AE17-E96E2C99260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AB52-4C48-AE17-E96E2C99260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AB52-4C48-AE17-E96E2C9926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B52-4C48-AE17-E96E2C99260B}"/>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6900">
                <a:schemeClr val="accent6">
                  <a:lumMod val="75000"/>
                </a:schemeClr>
              </a:gs>
              <a:gs pos="0">
                <a:schemeClr val="accent6">
                  <a:lumMod val="60000"/>
                  <a:lumOff val="40000"/>
                </a:schemeClr>
              </a:gs>
              <a:gs pos="100000">
                <a:schemeClr val="accent6">
                  <a:lumMod val="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46900">
                  <a:schemeClr val="accent6">
                    <a:lumMod val="75000"/>
                  </a:schemeClr>
                </a:gs>
                <a:gs pos="0">
                  <a:schemeClr val="accent6">
                    <a:lumMod val="60000"/>
                    <a:lumOff val="40000"/>
                  </a:schemeClr>
                </a:gs>
                <a:gs pos="100000">
                  <a:schemeClr val="accent6">
                    <a:lumMod val="50000"/>
                  </a:schemeClr>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B46-4B51-939F-079DBC632821}"/>
            </c:ext>
          </c:extLst>
        </c:ser>
        <c:dLbls>
          <c:dLblPos val="outEnd"/>
          <c:showLegendKey val="0"/>
          <c:showVal val="1"/>
          <c:showCatName val="0"/>
          <c:showSerName val="0"/>
          <c:showPercent val="0"/>
          <c:showBubbleSize val="0"/>
        </c:dLbls>
        <c:gapWidth val="125"/>
        <c:overlap val="-27"/>
        <c:axId val="1586990847"/>
        <c:axId val="1586992287"/>
      </c:barChart>
      <c:catAx>
        <c:axId val="158699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86992287"/>
        <c:crosses val="autoZero"/>
        <c:auto val="1"/>
        <c:lblAlgn val="ctr"/>
        <c:lblOffset val="100"/>
        <c:noMultiLvlLbl val="0"/>
      </c:catAx>
      <c:valAx>
        <c:axId val="1586992287"/>
        <c:scaling>
          <c:orientation val="minMax"/>
        </c:scaling>
        <c:delete val="1"/>
        <c:axPos val="l"/>
        <c:numFmt formatCode="General" sourceLinked="1"/>
        <c:majorTickMark val="none"/>
        <c:minorTickMark val="none"/>
        <c:tickLblPos val="nextTo"/>
        <c:crossAx val="158699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8EEA395-7AB3-4F3D-A879-8BF8081F3FA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25835581-0BFD-4000-81B6-336668C36418}">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28EEA395-7AB3-4F3D-A879-8BF8081F3FAB}">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plotSurface>
          <cx:spPr>
            <a:noFill/>
          </cx:spPr>
        </cx:plotSurface>
        <cx:series layoutId="funnel" uniqueId="{25835581-0BFD-4000-81B6-336668C36418}">
          <cx:tx>
            <cx:txData>
              <cx:f>_xlchart.v2.6</cx:f>
              <cx:v>Attrition</cx:v>
            </cx:txData>
          </cx:tx>
          <cx:spPr>
            <a:gradFill>
              <a:gsLst>
                <a:gs pos="0">
                  <a:srgbClr val="E2B46A"/>
                </a:gs>
                <a:gs pos="100000">
                  <a:srgbClr val="BC5610"/>
                </a:gs>
              </a:gsLst>
              <a:lin ang="156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1.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91440</xdr:colOff>
      <xdr:row>7</xdr:row>
      <xdr:rowOff>167640</xdr:rowOff>
    </xdr:from>
    <xdr:to>
      <xdr:col>1</xdr:col>
      <xdr:colOff>579120</xdr:colOff>
      <xdr:row>16</xdr:row>
      <xdr:rowOff>129540</xdr:rowOff>
    </xdr:to>
    <xdr:graphicFrame macro="">
      <xdr:nvGraphicFramePr>
        <xdr:cNvPr id="4" name="Chart 3">
          <a:extLst>
            <a:ext uri="{FF2B5EF4-FFF2-40B4-BE49-F238E27FC236}">
              <a16:creationId xmlns:a16="http://schemas.microsoft.com/office/drawing/2014/main" id="{E1CAA964-177A-9C54-8624-FC4F02096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281940</xdr:colOff>
      <xdr:row>3</xdr:row>
      <xdr:rowOff>0</xdr:rowOff>
    </xdr:from>
    <xdr:to>
      <xdr:col>12</xdr:col>
      <xdr:colOff>281940</xdr:colOff>
      <xdr:row>17</xdr:row>
      <xdr:rowOff>20955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269F2F9B-E674-0576-1C2B-67E30009AF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51320" y="548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548640</xdr:colOff>
      <xdr:row>17</xdr:row>
      <xdr:rowOff>167640</xdr:rowOff>
    </xdr:from>
    <xdr:to>
      <xdr:col>7</xdr:col>
      <xdr:colOff>381000</xdr:colOff>
      <xdr:row>25</xdr:row>
      <xdr:rowOff>68580</xdr:rowOff>
    </xdr:to>
    <xdr:graphicFrame macro="">
      <xdr:nvGraphicFramePr>
        <xdr:cNvPr id="6" name="Chart 5">
          <a:extLst>
            <a:ext uri="{FF2B5EF4-FFF2-40B4-BE49-F238E27FC236}">
              <a16:creationId xmlns:a16="http://schemas.microsoft.com/office/drawing/2014/main" id="{5C29F611-B5C0-39A0-1F2A-1987AF085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30480</xdr:colOff>
      <xdr:row>1</xdr:row>
      <xdr:rowOff>76200</xdr:rowOff>
    </xdr:from>
    <xdr:to>
      <xdr:col>16</xdr:col>
      <xdr:colOff>30480</xdr:colOff>
      <xdr:row>15</xdr:row>
      <xdr:rowOff>97155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5E09456C-F479-A57D-69E6-55663B191B8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938260" y="259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502920</xdr:colOff>
      <xdr:row>2</xdr:row>
      <xdr:rowOff>121920</xdr:rowOff>
    </xdr:from>
    <xdr:to>
      <xdr:col>10</xdr:col>
      <xdr:colOff>502920</xdr:colOff>
      <xdr:row>16</xdr:row>
      <xdr:rowOff>142875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6D8EEEB5-1789-D0CE-62D8-0E21CAB6873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821680" y="487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3</xdr:row>
      <xdr:rowOff>30480</xdr:rowOff>
    </xdr:from>
    <xdr:to>
      <xdr:col>14</xdr:col>
      <xdr:colOff>205740</xdr:colOff>
      <xdr:row>17</xdr:row>
      <xdr:rowOff>51435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38E2AC78-C9CD-1D1D-DBAB-CB8B9A28A6F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962900" y="579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14</xdr:row>
      <xdr:rowOff>83820</xdr:rowOff>
    </xdr:from>
    <xdr:to>
      <xdr:col>1</xdr:col>
      <xdr:colOff>1272540</xdr:colOff>
      <xdr:row>22</xdr:row>
      <xdr:rowOff>68580</xdr:rowOff>
    </xdr:to>
    <xdr:graphicFrame macro="">
      <xdr:nvGraphicFramePr>
        <xdr:cNvPr id="4" name="Chart 3">
          <a:extLst>
            <a:ext uri="{FF2B5EF4-FFF2-40B4-BE49-F238E27FC236}">
              <a16:creationId xmlns:a16="http://schemas.microsoft.com/office/drawing/2014/main" id="{76B15ADB-3164-0F84-7226-FB84AB76D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1341120</xdr:colOff>
      <xdr:row>9</xdr:row>
      <xdr:rowOff>106680</xdr:rowOff>
    </xdr:from>
    <xdr:to>
      <xdr:col>9</xdr:col>
      <xdr:colOff>129540</xdr:colOff>
      <xdr:row>24</xdr:row>
      <xdr:rowOff>106680</xdr:rowOff>
    </xdr:to>
    <xdr:graphicFrame macro="">
      <xdr:nvGraphicFramePr>
        <xdr:cNvPr id="2" name="Chart 1">
          <a:extLst>
            <a:ext uri="{FF2B5EF4-FFF2-40B4-BE49-F238E27FC236}">
              <a16:creationId xmlns:a16="http://schemas.microsoft.com/office/drawing/2014/main" id="{95B161DC-CB0F-9621-6184-C0365116B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327660</xdr:colOff>
      <xdr:row>13</xdr:row>
      <xdr:rowOff>38100</xdr:rowOff>
    </xdr:from>
    <xdr:to>
      <xdr:col>8</xdr:col>
      <xdr:colOff>297180</xdr:colOff>
      <xdr:row>28</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9684461-213D-8B28-786E-575E3E0F0A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8520" y="24155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9</xdr:row>
      <xdr:rowOff>7620</xdr:rowOff>
    </xdr:from>
    <xdr:to>
      <xdr:col>6</xdr:col>
      <xdr:colOff>266700</xdr:colOff>
      <xdr:row>19</xdr:row>
      <xdr:rowOff>129540</xdr:rowOff>
    </xdr:to>
    <xdr:graphicFrame macro="">
      <xdr:nvGraphicFramePr>
        <xdr:cNvPr id="2" name="Chart 1">
          <a:extLst>
            <a:ext uri="{FF2B5EF4-FFF2-40B4-BE49-F238E27FC236}">
              <a16:creationId xmlns:a16="http://schemas.microsoft.com/office/drawing/2014/main" id="{24B480EB-4315-A54B-67AE-83796913D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9</xdr:row>
      <xdr:rowOff>7620</xdr:rowOff>
    </xdr:from>
    <xdr:to>
      <xdr:col>10</xdr:col>
      <xdr:colOff>396240</xdr:colOff>
      <xdr:row>24</xdr:row>
      <xdr:rowOff>7620</xdr:rowOff>
    </xdr:to>
    <xdr:graphicFrame macro="">
      <xdr:nvGraphicFramePr>
        <xdr:cNvPr id="2" name="Chart 1">
          <a:extLst>
            <a:ext uri="{FF2B5EF4-FFF2-40B4-BE49-F238E27FC236}">
              <a16:creationId xmlns:a16="http://schemas.microsoft.com/office/drawing/2014/main" id="{659E155C-836F-2847-812F-398EE952E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76200</xdr:colOff>
      <xdr:row>0</xdr:row>
      <xdr:rowOff>38100</xdr:rowOff>
    </xdr:from>
    <xdr:to>
      <xdr:col>16</xdr:col>
      <xdr:colOff>381000</xdr:colOff>
      <xdr:row>15</xdr:row>
      <xdr:rowOff>38100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774F086-6C2F-3857-7A73-1F23AFA44E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00800" y="38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115455</xdr:colOff>
      <xdr:row>0</xdr:row>
      <xdr:rowOff>34637</xdr:rowOff>
    </xdr:from>
    <xdr:ext cx="14754225" cy="8970818"/>
    <xdr:grpSp>
      <xdr:nvGrpSpPr>
        <xdr:cNvPr id="2" name="Shape 2">
          <a:extLst>
            <a:ext uri="{FF2B5EF4-FFF2-40B4-BE49-F238E27FC236}">
              <a16:creationId xmlns:a16="http://schemas.microsoft.com/office/drawing/2014/main" id="{53C0389B-2B0E-4609-8E07-C092FBA41933}"/>
            </a:ext>
          </a:extLst>
        </xdr:cNvPr>
        <xdr:cNvGrpSpPr/>
      </xdr:nvGrpSpPr>
      <xdr:grpSpPr>
        <a:xfrm>
          <a:off x="115455" y="34637"/>
          <a:ext cx="14754225" cy="8970818"/>
          <a:chOff x="0" y="60488"/>
          <a:chExt cx="10692000" cy="7439025"/>
        </a:xfrm>
      </xdr:grpSpPr>
      <xdr:grpSp>
        <xdr:nvGrpSpPr>
          <xdr:cNvPr id="3" name="Shape 29">
            <a:extLst>
              <a:ext uri="{FF2B5EF4-FFF2-40B4-BE49-F238E27FC236}">
                <a16:creationId xmlns:a16="http://schemas.microsoft.com/office/drawing/2014/main" id="{EB6940A4-A59F-879E-4BAD-5F30D869DE79}"/>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EC596102-67DD-2AAB-CC88-6B5DB153CA9F}"/>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800"/>
            </a:p>
          </xdr:txBody>
        </xdr:sp>
        <xdr:sp macro="" textlink="">
          <xdr:nvSpPr>
            <xdr:cNvPr id="5" name="Shape 30">
              <a:extLst>
                <a:ext uri="{FF2B5EF4-FFF2-40B4-BE49-F238E27FC236}">
                  <a16:creationId xmlns:a16="http://schemas.microsoft.com/office/drawing/2014/main" id="{6E6ABD67-2503-D562-FA87-3358B1B71CE3}"/>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a:solidFill>
                    <a:schemeClr val="lt1"/>
                  </a:solidFill>
                  <a:latin typeface="Calibri"/>
                  <a:ea typeface="Calibri"/>
                  <a:cs typeface="Calibri"/>
                  <a:sym typeface="Calibri"/>
                </a:rPr>
                <a:t>`</a:t>
              </a:r>
              <a:endParaRPr sz="1800"/>
            </a:p>
          </xdr:txBody>
        </xdr:sp>
        <xdr:sp macro="" textlink="">
          <xdr:nvSpPr>
            <xdr:cNvPr id="6" name="Shape 31">
              <a:extLst>
                <a:ext uri="{FF2B5EF4-FFF2-40B4-BE49-F238E27FC236}">
                  <a16:creationId xmlns:a16="http://schemas.microsoft.com/office/drawing/2014/main" id="{B7879794-FFE6-812B-FA3C-E90BA9845953}"/>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4E837D25-2E3C-54C2-A2F5-129CF15B3195}"/>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sp macro="" textlink="">
          <xdr:nvSpPr>
            <xdr:cNvPr id="8" name="Shape 33">
              <a:extLst>
                <a:ext uri="{FF2B5EF4-FFF2-40B4-BE49-F238E27FC236}">
                  <a16:creationId xmlns:a16="http://schemas.microsoft.com/office/drawing/2014/main" id="{BF2C708D-3503-3143-38A6-A04E0A864DC1}"/>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grpSp>
          <xdr:nvGrpSpPr>
            <xdr:cNvPr id="9" name="Shape 34">
              <a:extLst>
                <a:ext uri="{FF2B5EF4-FFF2-40B4-BE49-F238E27FC236}">
                  <a16:creationId xmlns:a16="http://schemas.microsoft.com/office/drawing/2014/main" id="{05FB8C35-1D2B-8D2B-EC8B-E30138DE1870}"/>
                </a:ext>
              </a:extLst>
            </xdr:cNvPr>
            <xdr:cNvGrpSpPr/>
          </xdr:nvGrpSpPr>
          <xdr:grpSpPr>
            <a:xfrm>
              <a:off x="1846116" y="1203645"/>
              <a:ext cx="13289109" cy="1010917"/>
              <a:chOff x="1846116" y="1203645"/>
              <a:chExt cx="13403409" cy="1010917"/>
            </a:xfrm>
          </xdr:grpSpPr>
          <xdr:sp macro="" textlink="">
            <xdr:nvSpPr>
              <xdr:cNvPr id="24" name="Shape 35">
                <a:extLst>
                  <a:ext uri="{FF2B5EF4-FFF2-40B4-BE49-F238E27FC236}">
                    <a16:creationId xmlns:a16="http://schemas.microsoft.com/office/drawing/2014/main" id="{2B39A994-59FD-04E5-04D1-95F49A7FB990}"/>
                  </a:ext>
                </a:extLst>
              </xdr:cNvPr>
              <xdr:cNvSpPr/>
            </xdr:nvSpPr>
            <xdr:spPr>
              <a:xfrm>
                <a:off x="1846116" y="1203645"/>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sp macro="" textlink="">
            <xdr:nvSpPr>
              <xdr:cNvPr id="25" name="Shape 36">
                <a:extLst>
                  <a:ext uri="{FF2B5EF4-FFF2-40B4-BE49-F238E27FC236}">
                    <a16:creationId xmlns:a16="http://schemas.microsoft.com/office/drawing/2014/main" id="{8F550EB8-3320-3FA7-47C9-DCCF1CB8F605}"/>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sp macro="" textlink="">
            <xdr:nvSpPr>
              <xdr:cNvPr id="26" name="Shape 37">
                <a:extLst>
                  <a:ext uri="{FF2B5EF4-FFF2-40B4-BE49-F238E27FC236}">
                    <a16:creationId xmlns:a16="http://schemas.microsoft.com/office/drawing/2014/main" id="{D09F8EBA-14F2-1ABA-9722-152F1955A527}"/>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sp macro="" textlink="">
            <xdr:nvSpPr>
              <xdr:cNvPr id="27" name="Shape 38">
                <a:extLst>
                  <a:ext uri="{FF2B5EF4-FFF2-40B4-BE49-F238E27FC236}">
                    <a16:creationId xmlns:a16="http://schemas.microsoft.com/office/drawing/2014/main" id="{03D44F4B-B20E-093C-9D5A-0A0DB305C61B}"/>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sp macro="" textlink="">
            <xdr:nvSpPr>
              <xdr:cNvPr id="28" name="Shape 39">
                <a:extLst>
                  <a:ext uri="{FF2B5EF4-FFF2-40B4-BE49-F238E27FC236}">
                    <a16:creationId xmlns:a16="http://schemas.microsoft.com/office/drawing/2014/main" id="{3F53BA1D-55AF-38C4-8727-5EDB90A19074}"/>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grpSp>
        <xdr:grpSp>
          <xdr:nvGrpSpPr>
            <xdr:cNvPr id="10" name="Shape 40">
              <a:extLst>
                <a:ext uri="{FF2B5EF4-FFF2-40B4-BE49-F238E27FC236}">
                  <a16:creationId xmlns:a16="http://schemas.microsoft.com/office/drawing/2014/main" id="{AA8D61FC-96D1-25BF-B69C-B043AD9160F5}"/>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F8DA51A0-F653-46AE-A9B0-210AD5FC90F5}"/>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23" name="Shape 42">
                <a:extLst>
                  <a:ext uri="{FF2B5EF4-FFF2-40B4-BE49-F238E27FC236}">
                    <a16:creationId xmlns:a16="http://schemas.microsoft.com/office/drawing/2014/main" id="{7B096B3B-A4F3-6556-BAB8-172A0F6485FB}"/>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B3383E9F-ED91-9756-A2FF-47D11B8D9321}"/>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C0F6D984-656D-AA91-F935-858DB216E34A}"/>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13" name="Shape 45">
              <a:extLst>
                <a:ext uri="{FF2B5EF4-FFF2-40B4-BE49-F238E27FC236}">
                  <a16:creationId xmlns:a16="http://schemas.microsoft.com/office/drawing/2014/main" id="{9A0D53AB-1FF1-ED9A-62CA-63BC99C6603B}"/>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1596902B-C1FF-765D-3253-95893CAF036C}"/>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15" name="Shape 47">
              <a:extLst>
                <a:ext uri="{FF2B5EF4-FFF2-40B4-BE49-F238E27FC236}">
                  <a16:creationId xmlns:a16="http://schemas.microsoft.com/office/drawing/2014/main" id="{2DE616D1-F335-A446-B88F-CBF32D3611FA}"/>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CE9FC11B-CB08-BC03-12B0-BBFD979DC24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17" name="Shape 49">
              <a:extLst>
                <a:ext uri="{FF2B5EF4-FFF2-40B4-BE49-F238E27FC236}">
                  <a16:creationId xmlns:a16="http://schemas.microsoft.com/office/drawing/2014/main" id="{CCD1070A-E7CC-6F29-B2F9-075C39FD3DC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4C213503-165C-7BA4-40B6-831A3FE638A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19" name="Shape 51">
              <a:extLst>
                <a:ext uri="{FF2B5EF4-FFF2-40B4-BE49-F238E27FC236}">
                  <a16:creationId xmlns:a16="http://schemas.microsoft.com/office/drawing/2014/main" id="{D9DB016C-0C46-3ED1-75EA-206B8D4F7A9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FCF3355C-942E-B3D0-A905-37B01094619B}"/>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p>
          </xdr:txBody>
        </xdr:sp>
        <xdr:cxnSp macro="">
          <xdr:nvCxnSpPr>
            <xdr:cNvPr id="21" name="Shape 53">
              <a:extLst>
                <a:ext uri="{FF2B5EF4-FFF2-40B4-BE49-F238E27FC236}">
                  <a16:creationId xmlns:a16="http://schemas.microsoft.com/office/drawing/2014/main" id="{DA984EE8-07F5-3770-20FF-1EC2F0C3016E}"/>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19</xdr:col>
      <xdr:colOff>473365</xdr:colOff>
      <xdr:row>1</xdr:row>
      <xdr:rowOff>80818</xdr:rowOff>
    </xdr:from>
    <xdr:to>
      <xdr:col>24</xdr:col>
      <xdr:colOff>34637</xdr:colOff>
      <xdr:row>5</xdr:row>
      <xdr:rowOff>126999</xdr:rowOff>
    </xdr:to>
    <xdr:graphicFrame macro="">
      <xdr:nvGraphicFramePr>
        <xdr:cNvPr id="83" name="Chart 82">
          <a:extLst>
            <a:ext uri="{FF2B5EF4-FFF2-40B4-BE49-F238E27FC236}">
              <a16:creationId xmlns:a16="http://schemas.microsoft.com/office/drawing/2014/main" id="{FBCA8D2D-DFED-41F8-AFFB-2337684A1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300182</xdr:colOff>
      <xdr:row>6</xdr:row>
      <xdr:rowOff>169314</xdr:rowOff>
    </xdr:from>
    <xdr:to>
      <xdr:col>4</xdr:col>
      <xdr:colOff>357909</xdr:colOff>
      <xdr:row>9</xdr:row>
      <xdr:rowOff>169315</xdr:rowOff>
    </xdr:to>
    <xdr:sp macro="" textlink="">
      <xdr:nvSpPr>
        <xdr:cNvPr id="31" name="TextBox 30">
          <a:extLst>
            <a:ext uri="{FF2B5EF4-FFF2-40B4-BE49-F238E27FC236}">
              <a16:creationId xmlns:a16="http://schemas.microsoft.com/office/drawing/2014/main" id="{1EB2116A-916D-0C74-B57E-0969F93EBF71}"/>
            </a:ext>
          </a:extLst>
        </xdr:cNvPr>
        <xdr:cNvSpPr txBox="1"/>
      </xdr:nvSpPr>
      <xdr:spPr>
        <a:xfrm>
          <a:off x="300182" y="1277678"/>
          <a:ext cx="2505363"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Total Employees</a:t>
          </a:r>
        </a:p>
      </xdr:txBody>
    </xdr:sp>
    <xdr:clientData/>
  </xdr:twoCellAnchor>
  <xdr:twoCellAnchor>
    <xdr:from>
      <xdr:col>1</xdr:col>
      <xdr:colOff>184729</xdr:colOff>
      <xdr:row>9</xdr:row>
      <xdr:rowOff>57187</xdr:rowOff>
    </xdr:from>
    <xdr:to>
      <xdr:col>3</xdr:col>
      <xdr:colOff>219365</xdr:colOff>
      <xdr:row>12</xdr:row>
      <xdr:rowOff>23632</xdr:rowOff>
    </xdr:to>
    <xdr:sp macro="" textlink="KPI!A8">
      <xdr:nvSpPr>
        <xdr:cNvPr id="32" name="TextBox 31">
          <a:extLst>
            <a:ext uri="{FF2B5EF4-FFF2-40B4-BE49-F238E27FC236}">
              <a16:creationId xmlns:a16="http://schemas.microsoft.com/office/drawing/2014/main" id="{DAC62A88-EC9C-143E-48C3-43779D253341}"/>
            </a:ext>
          </a:extLst>
        </xdr:cNvPr>
        <xdr:cNvSpPr txBox="1"/>
      </xdr:nvSpPr>
      <xdr:spPr>
        <a:xfrm>
          <a:off x="796638" y="1719732"/>
          <a:ext cx="1258454" cy="52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34FF48-AC82-491A-BFD2-822CBC5576C6}" type="TxLink">
            <a:rPr lang="en-US" sz="2800" b="0" i="0" u="none" strike="noStrike">
              <a:solidFill>
                <a:srgbClr val="002060"/>
              </a:solidFill>
              <a:latin typeface="Segoe UI Black" panose="020B0A02040204020203" pitchFamily="34" charset="0"/>
              <a:ea typeface="Segoe UI Black" panose="020B0A02040204020203" pitchFamily="34" charset="0"/>
            </a:rPr>
            <a:pPr algn="ctr"/>
            <a:t>1470</a:t>
          </a:fld>
          <a:endParaRPr lang="en-IN" sz="2800">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4</xdr:col>
      <xdr:colOff>521854</xdr:colOff>
      <xdr:row>7</xdr:row>
      <xdr:rowOff>23774</xdr:rowOff>
    </xdr:from>
    <xdr:to>
      <xdr:col>8</xdr:col>
      <xdr:colOff>579580</xdr:colOff>
      <xdr:row>9</xdr:row>
      <xdr:rowOff>107038</xdr:rowOff>
    </xdr:to>
    <xdr:sp macro="" textlink="">
      <xdr:nvSpPr>
        <xdr:cNvPr id="33" name="TextBox 32">
          <a:extLst>
            <a:ext uri="{FF2B5EF4-FFF2-40B4-BE49-F238E27FC236}">
              <a16:creationId xmlns:a16="http://schemas.microsoft.com/office/drawing/2014/main" id="{EE61A96C-310E-43BB-BA3E-50FB3CE6A11C}"/>
            </a:ext>
          </a:extLst>
        </xdr:cNvPr>
        <xdr:cNvSpPr txBox="1"/>
      </xdr:nvSpPr>
      <xdr:spPr>
        <a:xfrm>
          <a:off x="2969490" y="1316865"/>
          <a:ext cx="2505363"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Attrition</a:t>
          </a:r>
        </a:p>
      </xdr:txBody>
    </xdr:sp>
    <xdr:clientData/>
  </xdr:twoCellAnchor>
  <xdr:twoCellAnchor>
    <xdr:from>
      <xdr:col>6</xdr:col>
      <xdr:colOff>60036</xdr:colOff>
      <xdr:row>9</xdr:row>
      <xdr:rowOff>57187</xdr:rowOff>
    </xdr:from>
    <xdr:to>
      <xdr:col>8</xdr:col>
      <xdr:colOff>94672</xdr:colOff>
      <xdr:row>12</xdr:row>
      <xdr:rowOff>23632</xdr:rowOff>
    </xdr:to>
    <xdr:sp macro="" textlink="KPI!B8">
      <xdr:nvSpPr>
        <xdr:cNvPr id="34" name="TextBox 33">
          <a:extLst>
            <a:ext uri="{FF2B5EF4-FFF2-40B4-BE49-F238E27FC236}">
              <a16:creationId xmlns:a16="http://schemas.microsoft.com/office/drawing/2014/main" id="{7339A7F1-04A3-4ACA-950A-5031894EE650}"/>
            </a:ext>
          </a:extLst>
        </xdr:cNvPr>
        <xdr:cNvSpPr txBox="1"/>
      </xdr:nvSpPr>
      <xdr:spPr>
        <a:xfrm>
          <a:off x="3731491" y="1719732"/>
          <a:ext cx="1258454" cy="52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7AC23C-81C9-4C5F-951A-2155C6ED8C6E}" type="TxLink">
            <a:rPr lang="en-US" sz="2800" b="0" i="0" u="none" strike="noStrike">
              <a:solidFill>
                <a:srgbClr val="002060"/>
              </a:solidFill>
              <a:latin typeface="Segoe UI Black" panose="020B0A02040204020203" pitchFamily="34" charset="0"/>
              <a:ea typeface="Segoe UI Black" panose="020B0A02040204020203" pitchFamily="34" charset="0"/>
              <a:cs typeface="+mn-cs"/>
            </a:rPr>
            <a:pPr marL="0" indent="0" algn="ctr"/>
            <a:t>237</a:t>
          </a:fld>
          <a:endParaRPr lang="en-IN" sz="2800" b="0" i="0" u="none" strike="noStrike">
            <a:solidFill>
              <a:srgbClr val="00206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554182</xdr:colOff>
      <xdr:row>7</xdr:row>
      <xdr:rowOff>35319</xdr:rowOff>
    </xdr:from>
    <xdr:to>
      <xdr:col>14</xdr:col>
      <xdr:colOff>0</xdr:colOff>
      <xdr:row>9</xdr:row>
      <xdr:rowOff>118583</xdr:rowOff>
    </xdr:to>
    <xdr:sp macro="" textlink="">
      <xdr:nvSpPr>
        <xdr:cNvPr id="35" name="TextBox 34">
          <a:extLst>
            <a:ext uri="{FF2B5EF4-FFF2-40B4-BE49-F238E27FC236}">
              <a16:creationId xmlns:a16="http://schemas.microsoft.com/office/drawing/2014/main" id="{4788246C-8250-41F8-A674-D7B90BA686D5}"/>
            </a:ext>
          </a:extLst>
        </xdr:cNvPr>
        <xdr:cNvSpPr txBox="1"/>
      </xdr:nvSpPr>
      <xdr:spPr>
        <a:xfrm>
          <a:off x="6061364" y="1328410"/>
          <a:ext cx="2505363"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Active Employees</a:t>
          </a:r>
        </a:p>
      </xdr:txBody>
    </xdr:sp>
    <xdr:clientData/>
  </xdr:twoCellAnchor>
  <xdr:twoCellAnchor>
    <xdr:from>
      <xdr:col>10</xdr:col>
      <xdr:colOff>565729</xdr:colOff>
      <xdr:row>9</xdr:row>
      <xdr:rowOff>57187</xdr:rowOff>
    </xdr:from>
    <xdr:to>
      <xdr:col>12</xdr:col>
      <xdr:colOff>600365</xdr:colOff>
      <xdr:row>12</xdr:row>
      <xdr:rowOff>23632</xdr:rowOff>
    </xdr:to>
    <xdr:sp macro="" textlink="KPI!D8">
      <xdr:nvSpPr>
        <xdr:cNvPr id="36" name="TextBox 35">
          <a:extLst>
            <a:ext uri="{FF2B5EF4-FFF2-40B4-BE49-F238E27FC236}">
              <a16:creationId xmlns:a16="http://schemas.microsoft.com/office/drawing/2014/main" id="{1CEA88C1-1710-4232-B63E-E975E23DD837}"/>
            </a:ext>
          </a:extLst>
        </xdr:cNvPr>
        <xdr:cNvSpPr txBox="1"/>
      </xdr:nvSpPr>
      <xdr:spPr>
        <a:xfrm>
          <a:off x="6684820" y="1719732"/>
          <a:ext cx="1258454" cy="52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13FDAA-34C7-44A3-9A97-5F7DB2893AF4}" type="TxLink">
            <a:rPr lang="en-US" sz="2800" b="0" i="0" u="none" strike="noStrike">
              <a:solidFill>
                <a:srgbClr val="002060"/>
              </a:solidFill>
              <a:latin typeface="Segoe UI Black" panose="020B0A02040204020203" pitchFamily="34" charset="0"/>
              <a:ea typeface="Segoe UI Black" panose="020B0A02040204020203" pitchFamily="34" charset="0"/>
              <a:cs typeface="+mn-cs"/>
            </a:rPr>
            <a:pPr marL="0" indent="0" algn="ctr"/>
            <a:t>1233</a:t>
          </a:fld>
          <a:endParaRPr lang="en-IN" sz="2800" b="0" i="0" u="none" strike="noStrike">
            <a:solidFill>
              <a:srgbClr val="00206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14</xdr:col>
      <xdr:colOff>588820</xdr:colOff>
      <xdr:row>7</xdr:row>
      <xdr:rowOff>35319</xdr:rowOff>
    </xdr:from>
    <xdr:to>
      <xdr:col>19</xdr:col>
      <xdr:colOff>34637</xdr:colOff>
      <xdr:row>9</xdr:row>
      <xdr:rowOff>118583</xdr:rowOff>
    </xdr:to>
    <xdr:sp macro="" textlink="">
      <xdr:nvSpPr>
        <xdr:cNvPr id="37" name="TextBox 36">
          <a:extLst>
            <a:ext uri="{FF2B5EF4-FFF2-40B4-BE49-F238E27FC236}">
              <a16:creationId xmlns:a16="http://schemas.microsoft.com/office/drawing/2014/main" id="{2D862A73-6892-4CD6-A8E7-8F3F7D8A1005}"/>
            </a:ext>
          </a:extLst>
        </xdr:cNvPr>
        <xdr:cNvSpPr txBox="1"/>
      </xdr:nvSpPr>
      <xdr:spPr>
        <a:xfrm>
          <a:off x="9155547" y="1328410"/>
          <a:ext cx="2505363"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Attrition</a:t>
          </a:r>
          <a:r>
            <a:rPr lang="en-IN" sz="1800" baseline="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 Rate</a:t>
          </a:r>
          <a:endPar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15</xdr:col>
      <xdr:colOff>392549</xdr:colOff>
      <xdr:row>9</xdr:row>
      <xdr:rowOff>57187</xdr:rowOff>
    </xdr:from>
    <xdr:to>
      <xdr:col>17</xdr:col>
      <xdr:colOff>427184</xdr:colOff>
      <xdr:row>12</xdr:row>
      <xdr:rowOff>23632</xdr:rowOff>
    </xdr:to>
    <xdr:sp macro="" textlink="KPI!E8">
      <xdr:nvSpPr>
        <xdr:cNvPr id="38" name="TextBox 37">
          <a:extLst>
            <a:ext uri="{FF2B5EF4-FFF2-40B4-BE49-F238E27FC236}">
              <a16:creationId xmlns:a16="http://schemas.microsoft.com/office/drawing/2014/main" id="{8B05F446-FF25-4F5F-90C6-0D3D51B86B74}"/>
            </a:ext>
          </a:extLst>
        </xdr:cNvPr>
        <xdr:cNvSpPr txBox="1"/>
      </xdr:nvSpPr>
      <xdr:spPr>
        <a:xfrm>
          <a:off x="9571185" y="1719732"/>
          <a:ext cx="1258454" cy="52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C62A06-F1B4-4C8D-9D33-153779C8FC7B}" type="TxLink">
            <a:rPr lang="en-US" sz="2800" b="0" i="0" u="none" strike="noStrike">
              <a:solidFill>
                <a:srgbClr val="002060"/>
              </a:solidFill>
              <a:latin typeface="Segoe UI Black" panose="020B0A02040204020203" pitchFamily="34" charset="0"/>
              <a:ea typeface="Segoe UI Black" panose="020B0A02040204020203" pitchFamily="34" charset="0"/>
              <a:cs typeface="+mn-cs"/>
            </a:rPr>
            <a:pPr marL="0" indent="0" algn="ctr"/>
            <a:t>16.12%</a:t>
          </a:fld>
          <a:endParaRPr lang="en-IN" sz="2800" b="0" i="0" u="none" strike="noStrike">
            <a:solidFill>
              <a:srgbClr val="00206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19</xdr:col>
      <xdr:colOff>473363</xdr:colOff>
      <xdr:row>7</xdr:row>
      <xdr:rowOff>35319</xdr:rowOff>
    </xdr:from>
    <xdr:to>
      <xdr:col>23</xdr:col>
      <xdr:colOff>531090</xdr:colOff>
      <xdr:row>9</xdr:row>
      <xdr:rowOff>118583</xdr:rowOff>
    </xdr:to>
    <xdr:sp macro="" textlink="">
      <xdr:nvSpPr>
        <xdr:cNvPr id="39" name="TextBox 38">
          <a:extLst>
            <a:ext uri="{FF2B5EF4-FFF2-40B4-BE49-F238E27FC236}">
              <a16:creationId xmlns:a16="http://schemas.microsoft.com/office/drawing/2014/main" id="{6691656D-B11D-40BB-8695-169EC7131732}"/>
            </a:ext>
          </a:extLst>
        </xdr:cNvPr>
        <xdr:cNvSpPr txBox="1"/>
      </xdr:nvSpPr>
      <xdr:spPr>
        <a:xfrm>
          <a:off x="12099636" y="1328410"/>
          <a:ext cx="2505363" cy="45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Average</a:t>
          </a:r>
          <a:r>
            <a:rPr lang="en-IN" sz="1800" baseline="0">
              <a:solidFill>
                <a:srgbClr val="602928"/>
              </a:solidFill>
              <a:latin typeface="Segoe UI Black" panose="020B0A02040204020203" pitchFamily="34" charset="0"/>
              <a:ea typeface="Segoe UI Black" panose="020B0A02040204020203" pitchFamily="34" charset="0"/>
              <a:cs typeface="LATO BLACK" panose="020F0502020204030204" pitchFamily="34" charset="0"/>
            </a:rPr>
            <a:t> Age</a:t>
          </a:r>
          <a:endParaRPr lang="en-IN" sz="1800">
            <a:solidFill>
              <a:srgbClr val="602928"/>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20</xdr:col>
      <xdr:colOff>242456</xdr:colOff>
      <xdr:row>9</xdr:row>
      <xdr:rowOff>57187</xdr:rowOff>
    </xdr:from>
    <xdr:to>
      <xdr:col>22</xdr:col>
      <xdr:colOff>277092</xdr:colOff>
      <xdr:row>12</xdr:row>
      <xdr:rowOff>23632</xdr:rowOff>
    </xdr:to>
    <xdr:sp macro="" textlink="KPI!C8">
      <xdr:nvSpPr>
        <xdr:cNvPr id="40" name="TextBox 39">
          <a:extLst>
            <a:ext uri="{FF2B5EF4-FFF2-40B4-BE49-F238E27FC236}">
              <a16:creationId xmlns:a16="http://schemas.microsoft.com/office/drawing/2014/main" id="{751C41CE-98BA-4E24-94EB-56E4EE16EE11}"/>
            </a:ext>
          </a:extLst>
        </xdr:cNvPr>
        <xdr:cNvSpPr txBox="1"/>
      </xdr:nvSpPr>
      <xdr:spPr>
        <a:xfrm>
          <a:off x="12480638" y="1719732"/>
          <a:ext cx="1258454" cy="52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D4702F-B0BE-4350-8161-719137CA92E2}" type="TxLink">
            <a:rPr lang="en-US" sz="2800" b="0" i="0" u="none" strike="noStrike">
              <a:solidFill>
                <a:srgbClr val="002060"/>
              </a:solidFill>
              <a:latin typeface="Segoe UI Black" panose="020B0A02040204020203" pitchFamily="34" charset="0"/>
              <a:ea typeface="Segoe UI Black" panose="020B0A02040204020203" pitchFamily="34" charset="0"/>
              <a:cs typeface="+mn-cs"/>
            </a:rPr>
            <a:pPr marL="0" indent="0" algn="ctr"/>
            <a:t>37</a:t>
          </a:fld>
          <a:endParaRPr lang="en-IN" sz="2800" b="0" i="0" u="none" strike="noStrike">
            <a:solidFill>
              <a:srgbClr val="002060"/>
            </a:solidFill>
            <a:latin typeface="Segoe UI Black" panose="020B0A02040204020203" pitchFamily="34" charset="0"/>
            <a:ea typeface="Segoe UI Black" panose="020B0A02040204020203" pitchFamily="34" charset="0"/>
            <a:cs typeface="+mn-cs"/>
          </a:endParaRPr>
        </a:p>
      </xdr:txBody>
    </xdr:sp>
    <xdr:clientData/>
  </xdr:twoCellAnchor>
  <xdr:oneCellAnchor>
    <xdr:from>
      <xdr:col>3</xdr:col>
      <xdr:colOff>565728</xdr:colOff>
      <xdr:row>7</xdr:row>
      <xdr:rowOff>65406</xdr:rowOff>
    </xdr:from>
    <xdr:ext cx="519545" cy="392545"/>
    <xdr:pic>
      <xdr:nvPicPr>
        <xdr:cNvPr id="41" name="image4.png">
          <a:extLst>
            <a:ext uri="{FF2B5EF4-FFF2-40B4-BE49-F238E27FC236}">
              <a16:creationId xmlns:a16="http://schemas.microsoft.com/office/drawing/2014/main" id="{E23FF854-D075-4B4B-BBF9-3DF87A8010AE}"/>
            </a:ext>
          </a:extLst>
        </xdr:cNvPr>
        <xdr:cNvPicPr preferRelativeResize="0"/>
      </xdr:nvPicPr>
      <xdr:blipFill>
        <a:blip xmlns:r="http://schemas.openxmlformats.org/officeDocument/2006/relationships" r:embed="rId2" cstate="print"/>
        <a:stretch>
          <a:fillRect/>
        </a:stretch>
      </xdr:blipFill>
      <xdr:spPr>
        <a:xfrm>
          <a:off x="2401455" y="1358497"/>
          <a:ext cx="519545" cy="392545"/>
        </a:xfrm>
        <a:prstGeom prst="rect">
          <a:avLst/>
        </a:prstGeom>
        <a:noFill/>
      </xdr:spPr>
    </xdr:pic>
    <xdr:clientData fLocksWithSheet="0"/>
  </xdr:oneCellAnchor>
  <xdr:oneCellAnchor>
    <xdr:from>
      <xdr:col>13</xdr:col>
      <xdr:colOff>346363</xdr:colOff>
      <xdr:row>7</xdr:row>
      <xdr:rowOff>91909</xdr:rowOff>
    </xdr:from>
    <xdr:ext cx="484909" cy="358364"/>
    <xdr:pic>
      <xdr:nvPicPr>
        <xdr:cNvPr id="42" name="image5.png">
          <a:extLst>
            <a:ext uri="{FF2B5EF4-FFF2-40B4-BE49-F238E27FC236}">
              <a16:creationId xmlns:a16="http://schemas.microsoft.com/office/drawing/2014/main" id="{44D289CC-7D77-4915-BDEA-F0C0889B1DC7}"/>
            </a:ext>
          </a:extLst>
        </xdr:cNvPr>
        <xdr:cNvPicPr preferRelativeResize="0"/>
      </xdr:nvPicPr>
      <xdr:blipFill>
        <a:blip xmlns:r="http://schemas.openxmlformats.org/officeDocument/2006/relationships" r:embed="rId3" cstate="print"/>
        <a:stretch>
          <a:fillRect/>
        </a:stretch>
      </xdr:blipFill>
      <xdr:spPr>
        <a:xfrm>
          <a:off x="8301181" y="1385000"/>
          <a:ext cx="484909" cy="358364"/>
        </a:xfrm>
        <a:prstGeom prst="rect">
          <a:avLst/>
        </a:prstGeom>
        <a:noFill/>
      </xdr:spPr>
    </xdr:pic>
    <xdr:clientData fLocksWithSheet="0"/>
  </xdr:oneCellAnchor>
  <xdr:oneCellAnchor>
    <xdr:from>
      <xdr:col>18</xdr:col>
      <xdr:colOff>207817</xdr:colOff>
      <xdr:row>7</xdr:row>
      <xdr:rowOff>69273</xdr:rowOff>
    </xdr:from>
    <xdr:ext cx="508001" cy="415636"/>
    <xdr:pic>
      <xdr:nvPicPr>
        <xdr:cNvPr id="43" name="image2.png">
          <a:extLst>
            <a:ext uri="{FF2B5EF4-FFF2-40B4-BE49-F238E27FC236}">
              <a16:creationId xmlns:a16="http://schemas.microsoft.com/office/drawing/2014/main" id="{13E9AA3E-FFEF-46B0-9D85-E814277EEC82}"/>
            </a:ext>
          </a:extLst>
        </xdr:cNvPr>
        <xdr:cNvPicPr preferRelativeResize="0"/>
      </xdr:nvPicPr>
      <xdr:blipFill>
        <a:blip xmlns:r="http://schemas.openxmlformats.org/officeDocument/2006/relationships" r:embed="rId4" cstate="print"/>
        <a:stretch>
          <a:fillRect/>
        </a:stretch>
      </xdr:blipFill>
      <xdr:spPr>
        <a:xfrm>
          <a:off x="11222181" y="1362364"/>
          <a:ext cx="508001" cy="415636"/>
        </a:xfrm>
        <a:prstGeom prst="rect">
          <a:avLst/>
        </a:prstGeom>
        <a:noFill/>
      </xdr:spPr>
    </xdr:pic>
    <xdr:clientData fLocksWithSheet="0"/>
  </xdr:oneCellAnchor>
  <xdr:oneCellAnchor>
    <xdr:from>
      <xdr:col>23</xdr:col>
      <xdr:colOff>11544</xdr:colOff>
      <xdr:row>7</xdr:row>
      <xdr:rowOff>57954</xdr:rowOff>
    </xdr:from>
    <xdr:ext cx="542637" cy="438500"/>
    <xdr:pic>
      <xdr:nvPicPr>
        <xdr:cNvPr id="44" name="image6.png">
          <a:extLst>
            <a:ext uri="{FF2B5EF4-FFF2-40B4-BE49-F238E27FC236}">
              <a16:creationId xmlns:a16="http://schemas.microsoft.com/office/drawing/2014/main" id="{4432EDED-B4DD-4FE8-855D-4AE9F899610C}"/>
            </a:ext>
          </a:extLst>
        </xdr:cNvPr>
        <xdr:cNvPicPr preferRelativeResize="0"/>
      </xdr:nvPicPr>
      <xdr:blipFill>
        <a:blip xmlns:r="http://schemas.openxmlformats.org/officeDocument/2006/relationships" r:embed="rId5" cstate="print"/>
        <a:stretch>
          <a:fillRect/>
        </a:stretch>
      </xdr:blipFill>
      <xdr:spPr>
        <a:xfrm>
          <a:off x="14085453" y="1351045"/>
          <a:ext cx="542637" cy="438500"/>
        </a:xfrm>
        <a:prstGeom prst="rect">
          <a:avLst/>
        </a:prstGeom>
        <a:noFill/>
      </xdr:spPr>
    </xdr:pic>
    <xdr:clientData fLocksWithSheet="0"/>
  </xdr:oneCellAnchor>
  <xdr:oneCellAnchor>
    <xdr:from>
      <xdr:col>8</xdr:col>
      <xdr:colOff>150092</xdr:colOff>
      <xdr:row>6</xdr:row>
      <xdr:rowOff>179750</xdr:rowOff>
    </xdr:from>
    <xdr:ext cx="819726" cy="628431"/>
    <xdr:pic>
      <xdr:nvPicPr>
        <xdr:cNvPr id="45" name="image7.png">
          <a:extLst>
            <a:ext uri="{FF2B5EF4-FFF2-40B4-BE49-F238E27FC236}">
              <a16:creationId xmlns:a16="http://schemas.microsoft.com/office/drawing/2014/main" id="{9C584CB4-7F75-4609-9C28-31D64C98C7C1}"/>
            </a:ext>
          </a:extLst>
        </xdr:cNvPr>
        <xdr:cNvPicPr preferRelativeResize="0"/>
      </xdr:nvPicPr>
      <xdr:blipFill>
        <a:blip xmlns:r="http://schemas.openxmlformats.org/officeDocument/2006/relationships" r:embed="rId6" cstate="print"/>
        <a:stretch>
          <a:fillRect/>
        </a:stretch>
      </xdr:blipFill>
      <xdr:spPr>
        <a:xfrm>
          <a:off x="5045365" y="1288114"/>
          <a:ext cx="819726" cy="628431"/>
        </a:xfrm>
        <a:prstGeom prst="rect">
          <a:avLst/>
        </a:prstGeom>
        <a:noFill/>
      </xdr:spPr>
    </xdr:pic>
    <xdr:clientData fLocksWithSheet="0"/>
  </xdr:oneCellAnchor>
  <xdr:twoCellAnchor>
    <xdr:from>
      <xdr:col>2</xdr:col>
      <xdr:colOff>311727</xdr:colOff>
      <xdr:row>1</xdr:row>
      <xdr:rowOff>52779</xdr:rowOff>
    </xdr:from>
    <xdr:to>
      <xdr:col>14</xdr:col>
      <xdr:colOff>392545</xdr:colOff>
      <xdr:row>4</xdr:row>
      <xdr:rowOff>155040</xdr:rowOff>
    </xdr:to>
    <xdr:sp macro="" textlink="">
      <xdr:nvSpPr>
        <xdr:cNvPr id="77" name="TextBox 76">
          <a:extLst>
            <a:ext uri="{FF2B5EF4-FFF2-40B4-BE49-F238E27FC236}">
              <a16:creationId xmlns:a16="http://schemas.microsoft.com/office/drawing/2014/main" id="{11CF2D22-E93F-1A10-19E9-E07731BAE99F}"/>
            </a:ext>
          </a:extLst>
        </xdr:cNvPr>
        <xdr:cNvSpPr txBox="1"/>
      </xdr:nvSpPr>
      <xdr:spPr>
        <a:xfrm>
          <a:off x="1535545" y="237506"/>
          <a:ext cx="7423727" cy="65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rgbClr val="0070C0"/>
              </a:solidFill>
              <a:latin typeface="Segoe UI Black" panose="020B0A02040204020203" pitchFamily="34" charset="0"/>
              <a:ea typeface="Segoe UI Black" panose="020B0A02040204020203" pitchFamily="34" charset="0"/>
            </a:rPr>
            <a:t>HR ANALYTICS DASHBOARD</a:t>
          </a:r>
        </a:p>
      </xdr:txBody>
    </xdr:sp>
    <xdr:clientData/>
  </xdr:twoCellAnchor>
  <xdr:oneCellAnchor>
    <xdr:from>
      <xdr:col>0</xdr:col>
      <xdr:colOff>531091</xdr:colOff>
      <xdr:row>1</xdr:row>
      <xdr:rowOff>121938</xdr:rowOff>
    </xdr:from>
    <xdr:ext cx="750454" cy="645124"/>
    <xdr:pic>
      <xdr:nvPicPr>
        <xdr:cNvPr id="78" name="image1.png">
          <a:extLst>
            <a:ext uri="{FF2B5EF4-FFF2-40B4-BE49-F238E27FC236}">
              <a16:creationId xmlns:a16="http://schemas.microsoft.com/office/drawing/2014/main" id="{9DE23C21-D88B-43F5-9C67-EB1BDB62C5C6}"/>
            </a:ext>
          </a:extLst>
        </xdr:cNvPr>
        <xdr:cNvPicPr preferRelativeResize="0"/>
      </xdr:nvPicPr>
      <xdr:blipFill>
        <a:blip xmlns:r="http://schemas.openxmlformats.org/officeDocument/2006/relationships" r:embed="rId7" cstate="print"/>
        <a:stretch>
          <a:fillRect/>
        </a:stretch>
      </xdr:blipFill>
      <xdr:spPr>
        <a:xfrm>
          <a:off x="531091" y="306665"/>
          <a:ext cx="750454" cy="645124"/>
        </a:xfrm>
        <a:prstGeom prst="rect">
          <a:avLst/>
        </a:prstGeom>
        <a:noFill/>
      </xdr:spPr>
    </xdr:pic>
    <xdr:clientData fLocksWithSheet="0"/>
  </xdr:oneCellAnchor>
  <xdr:oneCellAnchor>
    <xdr:from>
      <xdr:col>14</xdr:col>
      <xdr:colOff>357909</xdr:colOff>
      <xdr:row>1</xdr:row>
      <xdr:rowOff>98557</xdr:rowOff>
    </xdr:from>
    <xdr:ext cx="723900" cy="616263"/>
    <xdr:pic>
      <xdr:nvPicPr>
        <xdr:cNvPr id="79" name="image3.png">
          <a:extLst>
            <a:ext uri="{FF2B5EF4-FFF2-40B4-BE49-F238E27FC236}">
              <a16:creationId xmlns:a16="http://schemas.microsoft.com/office/drawing/2014/main" id="{87C538FB-7877-4E75-B3FD-7FFBAA3DD706}"/>
            </a:ext>
          </a:extLst>
        </xdr:cNvPr>
        <xdr:cNvPicPr preferRelativeResize="0"/>
      </xdr:nvPicPr>
      <xdr:blipFill>
        <a:blip xmlns:r="http://schemas.openxmlformats.org/officeDocument/2006/relationships" r:embed="rId8" cstate="print"/>
        <a:stretch>
          <a:fillRect/>
        </a:stretch>
      </xdr:blipFill>
      <xdr:spPr>
        <a:xfrm>
          <a:off x="8924636" y="283284"/>
          <a:ext cx="723900" cy="616263"/>
        </a:xfrm>
        <a:prstGeom prst="rect">
          <a:avLst/>
        </a:prstGeom>
        <a:noFill/>
      </xdr:spPr>
    </xdr:pic>
    <xdr:clientData fLocksWithSheet="0"/>
  </xdr:oneCellAnchor>
  <xdr:twoCellAnchor>
    <xdr:from>
      <xdr:col>15</xdr:col>
      <xdr:colOff>461820</xdr:colOff>
      <xdr:row>1</xdr:row>
      <xdr:rowOff>9783</xdr:rowOff>
    </xdr:from>
    <xdr:to>
      <xdr:col>18</xdr:col>
      <xdr:colOff>311727</xdr:colOff>
      <xdr:row>6</xdr:row>
      <xdr:rowOff>59492</xdr:rowOff>
    </xdr:to>
    <xdr:sp macro="" textlink="">
      <xdr:nvSpPr>
        <xdr:cNvPr id="80" name="TextBox 79">
          <a:extLst>
            <a:ext uri="{FF2B5EF4-FFF2-40B4-BE49-F238E27FC236}">
              <a16:creationId xmlns:a16="http://schemas.microsoft.com/office/drawing/2014/main" id="{D101CF39-353E-3B3D-8872-843818A0E94F}"/>
            </a:ext>
          </a:extLst>
        </xdr:cNvPr>
        <xdr:cNvSpPr txBox="1"/>
      </xdr:nvSpPr>
      <xdr:spPr>
        <a:xfrm>
          <a:off x="9640456" y="194510"/>
          <a:ext cx="1685635" cy="973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Segoe UI Black" panose="020B0A02040204020203" pitchFamily="34" charset="0"/>
              <a:ea typeface="Segoe UI Black" panose="020B0A02040204020203" pitchFamily="34" charset="0"/>
            </a:rPr>
            <a:t>JOB SATISFACTION</a:t>
          </a:r>
          <a:r>
            <a:rPr lang="en-IN" sz="1600" baseline="0">
              <a:solidFill>
                <a:srgbClr val="602928"/>
              </a:solidFill>
              <a:latin typeface="Segoe UI Black" panose="020B0A02040204020203" pitchFamily="34" charset="0"/>
              <a:ea typeface="Segoe UI Black" panose="020B0A02040204020203" pitchFamily="34" charset="0"/>
            </a:rPr>
            <a:t> RATING</a:t>
          </a:r>
          <a:endParaRPr lang="en-IN" sz="16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xdr:from>
      <xdr:col>18</xdr:col>
      <xdr:colOff>69273</xdr:colOff>
      <xdr:row>1</xdr:row>
      <xdr:rowOff>46124</xdr:rowOff>
    </xdr:from>
    <xdr:to>
      <xdr:col>20</xdr:col>
      <xdr:colOff>230909</xdr:colOff>
      <xdr:row>6</xdr:row>
      <xdr:rowOff>69271</xdr:rowOff>
    </xdr:to>
    <xdr:graphicFrame macro="">
      <xdr:nvGraphicFramePr>
        <xdr:cNvPr id="81" name="Chart 80">
          <a:extLst>
            <a:ext uri="{FF2B5EF4-FFF2-40B4-BE49-F238E27FC236}">
              <a16:creationId xmlns:a16="http://schemas.microsoft.com/office/drawing/2014/main" id="{73E41014-8548-4513-964E-DC1C805A0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34634</xdr:colOff>
      <xdr:row>2</xdr:row>
      <xdr:rowOff>23090</xdr:rowOff>
    </xdr:from>
    <xdr:to>
      <xdr:col>23</xdr:col>
      <xdr:colOff>588818</xdr:colOff>
      <xdr:row>4</xdr:row>
      <xdr:rowOff>148063</xdr:rowOff>
    </xdr:to>
    <xdr:sp macro="" textlink="">
      <xdr:nvSpPr>
        <xdr:cNvPr id="82" name="Freeform: Shape 81">
          <a:extLst>
            <a:ext uri="{FF2B5EF4-FFF2-40B4-BE49-F238E27FC236}">
              <a16:creationId xmlns:a16="http://schemas.microsoft.com/office/drawing/2014/main" id="{A00DDBC4-BD6A-19B5-E1EB-712DF58E6881}"/>
            </a:ext>
          </a:extLst>
        </xdr:cNvPr>
        <xdr:cNvSpPr/>
      </xdr:nvSpPr>
      <xdr:spPr>
        <a:xfrm>
          <a:off x="12272816" y="392545"/>
          <a:ext cx="2389911" cy="494427"/>
        </a:xfrm>
        <a:custGeom>
          <a:avLst/>
          <a:gdLst>
            <a:gd name="connsiteX0" fmla="*/ 189723 w 1784350"/>
            <a:gd name="connsiteY0" fmla="*/ 0 h 332792"/>
            <a:gd name="connsiteX1" fmla="*/ 678933 w 1784350"/>
            <a:gd name="connsiteY1" fmla="*/ 0 h 332792"/>
            <a:gd name="connsiteX2" fmla="*/ 634146 w 1784350"/>
            <a:gd name="connsiteY2" fmla="*/ 127116 h 332792"/>
            <a:gd name="connsiteX3" fmla="*/ 489210 w 1784350"/>
            <a:gd name="connsiteY3" fmla="*/ 127115 h 332792"/>
            <a:gd name="connsiteX4" fmla="*/ 606466 w 1784350"/>
            <a:gd name="connsiteY4" fmla="*/ 205676 h 332792"/>
            <a:gd name="connsiteX5" fmla="*/ 561678 w 1784350"/>
            <a:gd name="connsiteY5" fmla="*/ 332791 h 332792"/>
            <a:gd name="connsiteX6" fmla="*/ 678933 w 1784350"/>
            <a:gd name="connsiteY6" fmla="*/ 254229 h 332792"/>
            <a:gd name="connsiteX7" fmla="*/ 796187 w 1784350"/>
            <a:gd name="connsiteY7" fmla="*/ 332791 h 332792"/>
            <a:gd name="connsiteX8" fmla="*/ 751399 w 1784350"/>
            <a:gd name="connsiteY8" fmla="*/ 205676 h 332792"/>
            <a:gd name="connsiteX9" fmla="*/ 868655 w 1784350"/>
            <a:gd name="connsiteY9" fmla="*/ 127115 h 332792"/>
            <a:gd name="connsiteX10" fmla="*/ 723719 w 1784350"/>
            <a:gd name="connsiteY10" fmla="*/ 127116 h 332792"/>
            <a:gd name="connsiteX11" fmla="*/ 678933 w 1784350"/>
            <a:gd name="connsiteY11" fmla="*/ 0 h 332792"/>
            <a:gd name="connsiteX12" fmla="*/ 1089739 w 1784350"/>
            <a:gd name="connsiteY12" fmla="*/ 0 h 332792"/>
            <a:gd name="connsiteX13" fmla="*/ 1044952 w 1784350"/>
            <a:gd name="connsiteY13" fmla="*/ 127116 h 332792"/>
            <a:gd name="connsiteX14" fmla="*/ 900016 w 1784350"/>
            <a:gd name="connsiteY14" fmla="*/ 127115 h 332792"/>
            <a:gd name="connsiteX15" fmla="*/ 1017272 w 1784350"/>
            <a:gd name="connsiteY15" fmla="*/ 205676 h 332792"/>
            <a:gd name="connsiteX16" fmla="*/ 972484 w 1784350"/>
            <a:gd name="connsiteY16" fmla="*/ 332791 h 332792"/>
            <a:gd name="connsiteX17" fmla="*/ 1089739 w 1784350"/>
            <a:gd name="connsiteY17" fmla="*/ 254229 h 332792"/>
            <a:gd name="connsiteX18" fmla="*/ 1206993 w 1784350"/>
            <a:gd name="connsiteY18" fmla="*/ 332791 h 332792"/>
            <a:gd name="connsiteX19" fmla="*/ 1162205 w 1784350"/>
            <a:gd name="connsiteY19" fmla="*/ 205676 h 332792"/>
            <a:gd name="connsiteX20" fmla="*/ 1279461 w 1784350"/>
            <a:gd name="connsiteY20" fmla="*/ 127115 h 332792"/>
            <a:gd name="connsiteX21" fmla="*/ 1134525 w 1784350"/>
            <a:gd name="connsiteY21" fmla="*/ 127116 h 332792"/>
            <a:gd name="connsiteX22" fmla="*/ 1089739 w 1784350"/>
            <a:gd name="connsiteY22" fmla="*/ 0 h 332792"/>
            <a:gd name="connsiteX23" fmla="*/ 1531906 w 1784350"/>
            <a:gd name="connsiteY23" fmla="*/ 0 h 332792"/>
            <a:gd name="connsiteX24" fmla="*/ 1487119 w 1784350"/>
            <a:gd name="connsiteY24" fmla="*/ 127116 h 332792"/>
            <a:gd name="connsiteX25" fmla="*/ 1342183 w 1784350"/>
            <a:gd name="connsiteY25" fmla="*/ 127115 h 332792"/>
            <a:gd name="connsiteX26" fmla="*/ 1459439 w 1784350"/>
            <a:gd name="connsiteY26" fmla="*/ 205676 h 332792"/>
            <a:gd name="connsiteX27" fmla="*/ 1414651 w 1784350"/>
            <a:gd name="connsiteY27" fmla="*/ 332791 h 332792"/>
            <a:gd name="connsiteX28" fmla="*/ 1531906 w 1784350"/>
            <a:gd name="connsiteY28" fmla="*/ 254229 h 332792"/>
            <a:gd name="connsiteX29" fmla="*/ 1649160 w 1784350"/>
            <a:gd name="connsiteY29" fmla="*/ 332791 h 332792"/>
            <a:gd name="connsiteX30" fmla="*/ 1604372 w 1784350"/>
            <a:gd name="connsiteY30" fmla="*/ 205676 h 332792"/>
            <a:gd name="connsiteX31" fmla="*/ 1721628 w 1784350"/>
            <a:gd name="connsiteY31" fmla="*/ 127115 h 332792"/>
            <a:gd name="connsiteX32" fmla="*/ 1576692 w 1784350"/>
            <a:gd name="connsiteY32" fmla="*/ 127116 h 332792"/>
            <a:gd name="connsiteX33" fmla="*/ 1531906 w 1784350"/>
            <a:gd name="connsiteY33" fmla="*/ 0 h 332792"/>
            <a:gd name="connsiteX34" fmla="*/ 1784350 w 1784350"/>
            <a:gd name="connsiteY34" fmla="*/ 0 h 332792"/>
            <a:gd name="connsiteX35" fmla="*/ 1784350 w 1784350"/>
            <a:gd name="connsiteY35" fmla="*/ 332792 h 332792"/>
            <a:gd name="connsiteX36" fmla="*/ 0 w 1784350"/>
            <a:gd name="connsiteY36" fmla="*/ 332792 h 332792"/>
            <a:gd name="connsiteX37" fmla="*/ 0 w 1784350"/>
            <a:gd name="connsiteY37" fmla="*/ 127115 h 332792"/>
            <a:gd name="connsiteX38" fmla="*/ 117256 w 1784350"/>
            <a:gd name="connsiteY38" fmla="*/ 205676 h 332792"/>
            <a:gd name="connsiteX39" fmla="*/ 72468 w 1784350"/>
            <a:gd name="connsiteY39" fmla="*/ 332791 h 332792"/>
            <a:gd name="connsiteX40" fmla="*/ 189723 w 1784350"/>
            <a:gd name="connsiteY40" fmla="*/ 254229 h 332792"/>
            <a:gd name="connsiteX41" fmla="*/ 306977 w 1784350"/>
            <a:gd name="connsiteY41" fmla="*/ 332791 h 332792"/>
            <a:gd name="connsiteX42" fmla="*/ 262189 w 1784350"/>
            <a:gd name="connsiteY42" fmla="*/ 205676 h 332792"/>
            <a:gd name="connsiteX43" fmla="*/ 379445 w 1784350"/>
            <a:gd name="connsiteY43" fmla="*/ 127115 h 332792"/>
            <a:gd name="connsiteX44" fmla="*/ 234509 w 1784350"/>
            <a:gd name="connsiteY44" fmla="*/ 127116 h 332792"/>
            <a:gd name="connsiteX45" fmla="*/ 0 w 1784350"/>
            <a:gd name="connsiteY45" fmla="*/ 0 h 332792"/>
            <a:gd name="connsiteX46" fmla="*/ 189723 w 1784350"/>
            <a:gd name="connsiteY46" fmla="*/ 0 h 332792"/>
            <a:gd name="connsiteX47" fmla="*/ 144936 w 1784350"/>
            <a:gd name="connsiteY47" fmla="*/ 127116 h 332792"/>
            <a:gd name="connsiteX48" fmla="*/ 0 w 1784350"/>
            <a:gd name="connsiteY48" fmla="*/ 127115 h 3327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784350" h="332792">
              <a:moveTo>
                <a:pt x="189723" y="0"/>
              </a:moveTo>
              <a:lnTo>
                <a:pt x="678933" y="0"/>
              </a:lnTo>
              <a:lnTo>
                <a:pt x="634146" y="127116"/>
              </a:lnTo>
              <a:lnTo>
                <a:pt x="489210" y="127115"/>
              </a:lnTo>
              <a:lnTo>
                <a:pt x="606466" y="205676"/>
              </a:lnTo>
              <a:lnTo>
                <a:pt x="561678" y="332791"/>
              </a:lnTo>
              <a:lnTo>
                <a:pt x="678933" y="254229"/>
              </a:lnTo>
              <a:lnTo>
                <a:pt x="796187" y="332791"/>
              </a:lnTo>
              <a:lnTo>
                <a:pt x="751399" y="205676"/>
              </a:lnTo>
              <a:lnTo>
                <a:pt x="868655" y="127115"/>
              </a:lnTo>
              <a:lnTo>
                <a:pt x="723719" y="127116"/>
              </a:lnTo>
              <a:lnTo>
                <a:pt x="678933" y="0"/>
              </a:lnTo>
              <a:lnTo>
                <a:pt x="1089739" y="0"/>
              </a:lnTo>
              <a:lnTo>
                <a:pt x="1044952" y="127116"/>
              </a:lnTo>
              <a:lnTo>
                <a:pt x="900016" y="127115"/>
              </a:lnTo>
              <a:lnTo>
                <a:pt x="1017272" y="205676"/>
              </a:lnTo>
              <a:lnTo>
                <a:pt x="972484" y="332791"/>
              </a:lnTo>
              <a:lnTo>
                <a:pt x="1089739" y="254229"/>
              </a:lnTo>
              <a:lnTo>
                <a:pt x="1206993" y="332791"/>
              </a:lnTo>
              <a:lnTo>
                <a:pt x="1162205" y="205676"/>
              </a:lnTo>
              <a:lnTo>
                <a:pt x="1279461" y="127115"/>
              </a:lnTo>
              <a:lnTo>
                <a:pt x="1134525" y="127116"/>
              </a:lnTo>
              <a:lnTo>
                <a:pt x="1089739" y="0"/>
              </a:lnTo>
              <a:lnTo>
                <a:pt x="1531906" y="0"/>
              </a:lnTo>
              <a:lnTo>
                <a:pt x="1487119" y="127116"/>
              </a:lnTo>
              <a:lnTo>
                <a:pt x="1342183" y="127115"/>
              </a:lnTo>
              <a:lnTo>
                <a:pt x="1459439" y="205676"/>
              </a:lnTo>
              <a:lnTo>
                <a:pt x="1414651" y="332791"/>
              </a:lnTo>
              <a:lnTo>
                <a:pt x="1531906" y="254229"/>
              </a:lnTo>
              <a:lnTo>
                <a:pt x="1649160" y="332791"/>
              </a:lnTo>
              <a:lnTo>
                <a:pt x="1604372" y="205676"/>
              </a:lnTo>
              <a:lnTo>
                <a:pt x="1721628" y="127115"/>
              </a:lnTo>
              <a:lnTo>
                <a:pt x="1576692" y="127116"/>
              </a:lnTo>
              <a:lnTo>
                <a:pt x="1531906" y="0"/>
              </a:lnTo>
              <a:lnTo>
                <a:pt x="1784350" y="0"/>
              </a:lnTo>
              <a:lnTo>
                <a:pt x="1784350" y="332792"/>
              </a:lnTo>
              <a:lnTo>
                <a:pt x="0" y="332792"/>
              </a:lnTo>
              <a:lnTo>
                <a:pt x="0" y="127115"/>
              </a:lnTo>
              <a:lnTo>
                <a:pt x="117256" y="205676"/>
              </a:lnTo>
              <a:lnTo>
                <a:pt x="72468" y="332791"/>
              </a:lnTo>
              <a:lnTo>
                <a:pt x="189723" y="254229"/>
              </a:lnTo>
              <a:lnTo>
                <a:pt x="306977" y="332791"/>
              </a:lnTo>
              <a:lnTo>
                <a:pt x="262189" y="205676"/>
              </a:lnTo>
              <a:lnTo>
                <a:pt x="379445" y="127115"/>
              </a:lnTo>
              <a:lnTo>
                <a:pt x="234509" y="127116"/>
              </a:lnTo>
              <a:close/>
              <a:moveTo>
                <a:pt x="0" y="0"/>
              </a:moveTo>
              <a:lnTo>
                <a:pt x="189723" y="0"/>
              </a:lnTo>
              <a:lnTo>
                <a:pt x="144936" y="127116"/>
              </a:lnTo>
              <a:lnTo>
                <a:pt x="0" y="127115"/>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11545</xdr:colOff>
      <xdr:row>20</xdr:row>
      <xdr:rowOff>69272</xdr:rowOff>
    </xdr:from>
    <xdr:to>
      <xdr:col>7</xdr:col>
      <xdr:colOff>414545</xdr:colOff>
      <xdr:row>30</xdr:row>
      <xdr:rowOff>22000</xdr:rowOff>
    </xdr:to>
    <xdr:grpSp>
      <xdr:nvGrpSpPr>
        <xdr:cNvPr id="94" name="Group 93">
          <a:extLst>
            <a:ext uri="{FF2B5EF4-FFF2-40B4-BE49-F238E27FC236}">
              <a16:creationId xmlns:a16="http://schemas.microsoft.com/office/drawing/2014/main" id="{3E2E2C0B-1CFF-2153-D24E-DFFDB621BDE0}"/>
            </a:ext>
          </a:extLst>
        </xdr:cNvPr>
        <xdr:cNvGrpSpPr/>
      </xdr:nvGrpSpPr>
      <xdr:grpSpPr>
        <a:xfrm>
          <a:off x="11545" y="3798454"/>
          <a:ext cx="4686364" cy="1800001"/>
          <a:chOff x="57727" y="4087090"/>
          <a:chExt cx="4686364" cy="1800001"/>
        </a:xfrm>
      </xdr:grpSpPr>
      <xdr:graphicFrame macro="">
        <xdr:nvGraphicFramePr>
          <xdr:cNvPr id="85" name="Chart 84">
            <a:extLst>
              <a:ext uri="{FF2B5EF4-FFF2-40B4-BE49-F238E27FC236}">
                <a16:creationId xmlns:a16="http://schemas.microsoft.com/office/drawing/2014/main" id="{583B2511-9040-426A-B121-C5B210F69133}"/>
              </a:ext>
            </a:extLst>
          </xdr:cNvPr>
          <xdr:cNvGraphicFramePr>
            <a:graphicFrameLocks/>
          </xdr:cNvGraphicFramePr>
        </xdr:nvGraphicFramePr>
        <xdr:xfrm>
          <a:off x="57727" y="4087090"/>
          <a:ext cx="1800000" cy="180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6" name="Chart 85">
            <a:extLst>
              <a:ext uri="{FF2B5EF4-FFF2-40B4-BE49-F238E27FC236}">
                <a16:creationId xmlns:a16="http://schemas.microsoft.com/office/drawing/2014/main" id="{FEF3AA04-81AD-4365-8F8F-196934F931C2}"/>
              </a:ext>
            </a:extLst>
          </xdr:cNvPr>
          <xdr:cNvGraphicFramePr>
            <a:graphicFrameLocks/>
          </xdr:cNvGraphicFramePr>
        </xdr:nvGraphicFramePr>
        <xdr:xfrm>
          <a:off x="2944091" y="4087091"/>
          <a:ext cx="1800000" cy="180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88" name="Graphic 87" descr="Male profile with solid fill">
            <a:extLst>
              <a:ext uri="{FF2B5EF4-FFF2-40B4-BE49-F238E27FC236}">
                <a16:creationId xmlns:a16="http://schemas.microsoft.com/office/drawing/2014/main" id="{7CFD1A48-098D-552D-7724-8B492A0CC61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01453" y="4595092"/>
            <a:ext cx="761999" cy="761999"/>
          </a:xfrm>
          <a:prstGeom prst="rect">
            <a:avLst/>
          </a:prstGeom>
        </xdr:spPr>
      </xdr:pic>
      <xdr:pic>
        <xdr:nvPicPr>
          <xdr:cNvPr id="90" name="Graphic 89" descr="Female Profile with solid fill">
            <a:extLst>
              <a:ext uri="{FF2B5EF4-FFF2-40B4-BE49-F238E27FC236}">
                <a16:creationId xmlns:a16="http://schemas.microsoft.com/office/drawing/2014/main" id="{C1DDE363-45CF-2EED-5CAC-FA66CD2FEDF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5453" y="4629636"/>
            <a:ext cx="727455" cy="727455"/>
          </a:xfrm>
          <a:prstGeom prst="rect">
            <a:avLst/>
          </a:prstGeom>
        </xdr:spPr>
      </xdr:pic>
      <xdr:sp macro="" textlink="Gender!$B$10">
        <xdr:nvSpPr>
          <xdr:cNvPr id="92" name="TextBox 91">
            <a:extLst>
              <a:ext uri="{FF2B5EF4-FFF2-40B4-BE49-F238E27FC236}">
                <a16:creationId xmlns:a16="http://schemas.microsoft.com/office/drawing/2014/main" id="{D775516D-F7A4-EE0F-ED17-964C59E8AEB7}"/>
              </a:ext>
            </a:extLst>
          </xdr:cNvPr>
          <xdr:cNvSpPr txBox="1"/>
        </xdr:nvSpPr>
        <xdr:spPr>
          <a:xfrm>
            <a:off x="635001" y="4849091"/>
            <a:ext cx="681182" cy="404091"/>
          </a:xfrm>
          <a:prstGeom prst="rect">
            <a:avLst/>
          </a:prstGeom>
          <a:noFill/>
          <a:ln>
            <a:noFill/>
          </a:ln>
        </xdr:spPr>
        <xdr:txBody>
          <a:bodyPr vertOverflow="clip" wrap="square" rtlCol="0"/>
          <a:lstStyle/>
          <a:p>
            <a:pPr marL="0" indent="0"/>
            <a:fld id="{621CF399-9C78-4174-9B33-8E108CE538C4}" type="TxLink">
              <a:rPr lang="en-US" sz="1600" b="0" i="0" u="none" strike="noStrike">
                <a:solidFill>
                  <a:srgbClr val="002060"/>
                </a:solidFill>
                <a:latin typeface="Segoe UI Black" panose="020B0A02040204020203" pitchFamily="34" charset="0"/>
                <a:ea typeface="Segoe UI Black" panose="020B0A02040204020203" pitchFamily="34" charset="0"/>
                <a:cs typeface="+mn-cs"/>
              </a:rPr>
              <a:pPr marL="0" indent="0"/>
              <a:t>588</a:t>
            </a:fld>
            <a:endParaRPr lang="en-IN" sz="1600" b="0" i="0" u="none" strike="noStrike">
              <a:solidFill>
                <a:srgbClr val="002060"/>
              </a:solidFill>
              <a:latin typeface="Segoe UI Black" panose="020B0A02040204020203" pitchFamily="34" charset="0"/>
              <a:ea typeface="Segoe UI Black" panose="020B0A02040204020203" pitchFamily="34" charset="0"/>
              <a:cs typeface="+mn-cs"/>
            </a:endParaRPr>
          </a:p>
        </xdr:txBody>
      </xdr:sp>
      <xdr:sp macro="" textlink="Gender!$B$11">
        <xdr:nvSpPr>
          <xdr:cNvPr id="93" name="TextBox 92">
            <a:extLst>
              <a:ext uri="{FF2B5EF4-FFF2-40B4-BE49-F238E27FC236}">
                <a16:creationId xmlns:a16="http://schemas.microsoft.com/office/drawing/2014/main" id="{CF63B751-B20B-421A-B5BB-C5749E9B466D}"/>
              </a:ext>
            </a:extLst>
          </xdr:cNvPr>
          <xdr:cNvSpPr txBox="1"/>
        </xdr:nvSpPr>
        <xdr:spPr>
          <a:xfrm>
            <a:off x="3521364" y="4826000"/>
            <a:ext cx="681182" cy="404091"/>
          </a:xfrm>
          <a:prstGeom prst="rect">
            <a:avLst/>
          </a:prstGeom>
          <a:noFill/>
          <a:ln>
            <a:noFill/>
          </a:ln>
        </xdr:spPr>
        <xdr:txBody>
          <a:bodyPr vertOverflow="clip" wrap="square" rtlCol="0"/>
          <a:lstStyle/>
          <a:p>
            <a:pPr marL="0" indent="0"/>
            <a:fld id="{EAF12982-134D-45D0-90EE-F3C6111BDC60}" type="TxLink">
              <a:rPr lang="en-US" sz="1600" b="0" i="0" u="none" strike="noStrike">
                <a:solidFill>
                  <a:srgbClr val="002060"/>
                </a:solidFill>
                <a:latin typeface="Segoe UI Black" panose="020B0A02040204020203" pitchFamily="34" charset="0"/>
                <a:ea typeface="Segoe UI Black" panose="020B0A02040204020203" pitchFamily="34" charset="0"/>
                <a:cs typeface="+mn-cs"/>
              </a:rPr>
              <a:pPr marL="0" indent="0"/>
              <a:t>882</a:t>
            </a:fld>
            <a:endParaRPr lang="en-IN" sz="1600" b="0" i="0" u="none" strike="noStrike">
              <a:solidFill>
                <a:srgbClr val="002060"/>
              </a:solidFill>
              <a:latin typeface="Segoe UI Black" panose="020B0A02040204020203" pitchFamily="34" charset="0"/>
              <a:ea typeface="Segoe UI Black" panose="020B0A02040204020203" pitchFamily="34" charset="0"/>
              <a:cs typeface="+mn-cs"/>
            </a:endParaRPr>
          </a:p>
        </xdr:txBody>
      </xdr:sp>
    </xdr:grpSp>
    <xdr:clientData/>
  </xdr:twoCellAnchor>
  <xdr:twoCellAnchor>
    <xdr:from>
      <xdr:col>0</xdr:col>
      <xdr:colOff>357909</xdr:colOff>
      <xdr:row>13</xdr:row>
      <xdr:rowOff>173181</xdr:rowOff>
    </xdr:from>
    <xdr:to>
      <xdr:col>6</xdr:col>
      <xdr:colOff>242454</xdr:colOff>
      <xdr:row>15</xdr:row>
      <xdr:rowOff>103909</xdr:rowOff>
    </xdr:to>
    <xdr:sp macro="" textlink="">
      <xdr:nvSpPr>
        <xdr:cNvPr id="95" name="TextBox 94">
          <a:extLst>
            <a:ext uri="{FF2B5EF4-FFF2-40B4-BE49-F238E27FC236}">
              <a16:creationId xmlns:a16="http://schemas.microsoft.com/office/drawing/2014/main" id="{E14C9F58-5EAB-9C97-67A7-DAD2D995804E}"/>
            </a:ext>
          </a:extLst>
        </xdr:cNvPr>
        <xdr:cNvSpPr txBox="1"/>
      </xdr:nvSpPr>
      <xdr:spPr>
        <a:xfrm>
          <a:off x="357909" y="2574636"/>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Segoe UI Black" panose="020B0A02040204020203" pitchFamily="34" charset="0"/>
              <a:ea typeface="Segoe UI Black" panose="020B0A02040204020203" pitchFamily="34" charset="0"/>
            </a:rPr>
            <a:t>Total Employees</a:t>
          </a:r>
          <a:r>
            <a:rPr lang="en-IN" sz="1400" baseline="0">
              <a:solidFill>
                <a:srgbClr val="602928"/>
              </a:solidFill>
              <a:latin typeface="Segoe UI Black" panose="020B0A02040204020203" pitchFamily="34" charset="0"/>
              <a:ea typeface="Segoe UI Black" panose="020B0A02040204020203" pitchFamily="34" charset="0"/>
            </a:rPr>
            <a:t> by Gender</a:t>
          </a:r>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92363</xdr:colOff>
      <xdr:row>17</xdr:row>
      <xdr:rowOff>1</xdr:rowOff>
    </xdr:from>
    <xdr:to>
      <xdr:col>5</xdr:col>
      <xdr:colOff>173181</xdr:colOff>
      <xdr:row>20</xdr:row>
      <xdr:rowOff>161636</xdr:rowOff>
    </xdr:to>
    <mc:AlternateContent xmlns:mc="http://schemas.openxmlformats.org/markup-compatibility/2006" xmlns:a14="http://schemas.microsoft.com/office/drawing/2010/main">
      <mc:Choice Requires="a14">
        <xdr:graphicFrame macro="">
          <xdr:nvGraphicFramePr>
            <xdr:cNvPr id="96" name="Gender 2">
              <a:extLst>
                <a:ext uri="{FF2B5EF4-FFF2-40B4-BE49-F238E27FC236}">
                  <a16:creationId xmlns:a16="http://schemas.microsoft.com/office/drawing/2014/main" id="{0916DEE6-98F5-4C99-B404-1E1985145F9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16181" y="3175001"/>
              <a:ext cx="1916545" cy="715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127001</xdr:colOff>
      <xdr:row>16</xdr:row>
      <xdr:rowOff>0</xdr:rowOff>
    </xdr:from>
    <xdr:to>
      <xdr:col>15</xdr:col>
      <xdr:colOff>415638</xdr:colOff>
      <xdr:row>30</xdr:row>
      <xdr:rowOff>122381</xdr:rowOff>
    </xdr:to>
    <xdr:graphicFrame macro="">
      <xdr:nvGraphicFramePr>
        <xdr:cNvPr id="29" name="Chart 28">
          <a:extLst>
            <a:ext uri="{FF2B5EF4-FFF2-40B4-BE49-F238E27FC236}">
              <a16:creationId xmlns:a16="http://schemas.microsoft.com/office/drawing/2014/main" id="{28781F1D-9C5A-4D85-8F1B-B47FF543A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602672</xdr:colOff>
      <xdr:row>13</xdr:row>
      <xdr:rowOff>163945</xdr:rowOff>
    </xdr:from>
    <xdr:to>
      <xdr:col>13</xdr:col>
      <xdr:colOff>487218</xdr:colOff>
      <xdr:row>15</xdr:row>
      <xdr:rowOff>94673</xdr:rowOff>
    </xdr:to>
    <xdr:sp macro="" textlink="">
      <xdr:nvSpPr>
        <xdr:cNvPr id="46" name="TextBox 45">
          <a:extLst>
            <a:ext uri="{FF2B5EF4-FFF2-40B4-BE49-F238E27FC236}">
              <a16:creationId xmlns:a16="http://schemas.microsoft.com/office/drawing/2014/main" id="{ADA7CD54-8A9E-4B15-8EA5-1417C8C80FB0}"/>
            </a:ext>
          </a:extLst>
        </xdr:cNvPr>
        <xdr:cNvSpPr txBox="1"/>
      </xdr:nvSpPr>
      <xdr:spPr>
        <a:xfrm>
          <a:off x="4886036" y="2565400"/>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Segoe UI Black" panose="020B0A02040204020203" pitchFamily="34" charset="0"/>
              <a:ea typeface="Segoe UI Black" panose="020B0A02040204020203" pitchFamily="34" charset="0"/>
            </a:rPr>
            <a:t>Education</a:t>
          </a:r>
          <a:r>
            <a:rPr lang="en-IN" sz="1400" baseline="0">
              <a:solidFill>
                <a:srgbClr val="602928"/>
              </a:solidFill>
              <a:latin typeface="Segoe UI Black" panose="020B0A02040204020203" pitchFamily="34" charset="0"/>
              <a:ea typeface="Segoe UI Black" panose="020B0A02040204020203" pitchFamily="34" charset="0"/>
            </a:rPr>
            <a:t> wise Attrition</a:t>
          </a:r>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300183</xdr:colOff>
      <xdr:row>15</xdr:row>
      <xdr:rowOff>92364</xdr:rowOff>
    </xdr:from>
    <xdr:to>
      <xdr:col>23</xdr:col>
      <xdr:colOff>588819</xdr:colOff>
      <xdr:row>30</xdr:row>
      <xdr:rowOff>30018</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15363C0E-79D6-4169-B89D-446B097ED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053783" y="2835564"/>
              <a:ext cx="4555836" cy="27189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477982</xdr:colOff>
      <xdr:row>13</xdr:row>
      <xdr:rowOff>166254</xdr:rowOff>
    </xdr:from>
    <xdr:to>
      <xdr:col>22</xdr:col>
      <xdr:colOff>362527</xdr:colOff>
      <xdr:row>15</xdr:row>
      <xdr:rowOff>96982</xdr:rowOff>
    </xdr:to>
    <xdr:sp macro="" textlink="">
      <xdr:nvSpPr>
        <xdr:cNvPr id="48" name="TextBox 47">
          <a:extLst>
            <a:ext uri="{FF2B5EF4-FFF2-40B4-BE49-F238E27FC236}">
              <a16:creationId xmlns:a16="http://schemas.microsoft.com/office/drawing/2014/main" id="{31F54CEE-A88C-4BBF-B8EE-FE1D80DFDB7A}"/>
            </a:ext>
          </a:extLst>
        </xdr:cNvPr>
        <xdr:cNvSpPr txBox="1"/>
      </xdr:nvSpPr>
      <xdr:spPr>
        <a:xfrm>
          <a:off x="10268527" y="2567709"/>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Segoe UI Black" panose="020B0A02040204020203" pitchFamily="34" charset="0"/>
              <a:ea typeface="Segoe UI Black" panose="020B0A02040204020203" pitchFamily="34" charset="0"/>
            </a:rPr>
            <a:t>Attrition</a:t>
          </a:r>
          <a:r>
            <a:rPr lang="en-IN" sz="1400" baseline="0">
              <a:solidFill>
                <a:srgbClr val="602928"/>
              </a:solidFill>
              <a:latin typeface="Segoe UI Black" panose="020B0A02040204020203" pitchFamily="34" charset="0"/>
              <a:ea typeface="Segoe UI Black" panose="020B0A02040204020203" pitchFamily="34" charset="0"/>
            </a:rPr>
            <a:t> by Job Role</a:t>
          </a:r>
        </a:p>
        <a:p>
          <a:endParaRPr lang="en-IN" sz="1400" baseline="0">
            <a:solidFill>
              <a:srgbClr val="602928"/>
            </a:solidFill>
            <a:latin typeface="Segoe UI Black" panose="020B0A02040204020203" pitchFamily="34" charset="0"/>
            <a:ea typeface="Segoe UI Black" panose="020B0A02040204020203" pitchFamily="34" charset="0"/>
          </a:endParaRPr>
        </a:p>
        <a:p>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xdr:from>
      <xdr:col>0</xdr:col>
      <xdr:colOff>0</xdr:colOff>
      <xdr:row>34</xdr:row>
      <xdr:rowOff>34637</xdr:rowOff>
    </xdr:from>
    <xdr:to>
      <xdr:col>7</xdr:col>
      <xdr:colOff>323273</xdr:colOff>
      <xdr:row>48</xdr:row>
      <xdr:rowOff>92364</xdr:rowOff>
    </xdr:to>
    <xdr:graphicFrame macro="">
      <xdr:nvGraphicFramePr>
        <xdr:cNvPr id="50" name="Chart 49">
          <a:extLst>
            <a:ext uri="{FF2B5EF4-FFF2-40B4-BE49-F238E27FC236}">
              <a16:creationId xmlns:a16="http://schemas.microsoft.com/office/drawing/2014/main" id="{BEC00694-949E-426C-9F34-C699BF510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454891</xdr:colOff>
      <xdr:row>31</xdr:row>
      <xdr:rowOff>85437</xdr:rowOff>
    </xdr:from>
    <xdr:to>
      <xdr:col>6</xdr:col>
      <xdr:colOff>339436</xdr:colOff>
      <xdr:row>33</xdr:row>
      <xdr:rowOff>16165</xdr:rowOff>
    </xdr:to>
    <xdr:sp macro="" textlink="">
      <xdr:nvSpPr>
        <xdr:cNvPr id="51" name="TextBox 50">
          <a:extLst>
            <a:ext uri="{FF2B5EF4-FFF2-40B4-BE49-F238E27FC236}">
              <a16:creationId xmlns:a16="http://schemas.microsoft.com/office/drawing/2014/main" id="{48C0FAAF-D5C0-404D-B2BD-1C176E524FC7}"/>
            </a:ext>
          </a:extLst>
        </xdr:cNvPr>
        <xdr:cNvSpPr txBox="1"/>
      </xdr:nvSpPr>
      <xdr:spPr>
        <a:xfrm>
          <a:off x="454891" y="5846619"/>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Segoe UI Black" panose="020B0A02040204020203" pitchFamily="34" charset="0"/>
              <a:ea typeface="Segoe UI Black" panose="020B0A02040204020203" pitchFamily="34" charset="0"/>
            </a:rPr>
            <a:t>Department</a:t>
          </a:r>
          <a:r>
            <a:rPr lang="en-IN" sz="1400" baseline="0">
              <a:solidFill>
                <a:srgbClr val="602928"/>
              </a:solidFill>
              <a:latin typeface="Segoe UI Black" panose="020B0A02040204020203" pitchFamily="34" charset="0"/>
              <a:ea typeface="Segoe UI Black" panose="020B0A02040204020203" pitchFamily="34" charset="0"/>
            </a:rPr>
            <a:t> wise Attrition</a:t>
          </a:r>
        </a:p>
        <a:p>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xdr:from>
      <xdr:col>7</xdr:col>
      <xdr:colOff>184728</xdr:colOff>
      <xdr:row>33</xdr:row>
      <xdr:rowOff>34638</xdr:rowOff>
    </xdr:from>
    <xdr:to>
      <xdr:col>14</xdr:col>
      <xdr:colOff>34637</xdr:colOff>
      <xdr:row>48</xdr:row>
      <xdr:rowOff>46183</xdr:rowOff>
    </xdr:to>
    <xdr:graphicFrame macro="">
      <xdr:nvGraphicFramePr>
        <xdr:cNvPr id="52" name="Chart 51">
          <a:extLst>
            <a:ext uri="{FF2B5EF4-FFF2-40B4-BE49-F238E27FC236}">
              <a16:creationId xmlns:a16="http://schemas.microsoft.com/office/drawing/2014/main" id="{8F2D5035-7664-4F00-B6CE-E2A89B9A7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480290</xdr:colOff>
      <xdr:row>31</xdr:row>
      <xdr:rowOff>87746</xdr:rowOff>
    </xdr:from>
    <xdr:to>
      <xdr:col>13</xdr:col>
      <xdr:colOff>364836</xdr:colOff>
      <xdr:row>33</xdr:row>
      <xdr:rowOff>18474</xdr:rowOff>
    </xdr:to>
    <xdr:sp macro="" textlink="">
      <xdr:nvSpPr>
        <xdr:cNvPr id="53" name="TextBox 52">
          <a:extLst>
            <a:ext uri="{FF2B5EF4-FFF2-40B4-BE49-F238E27FC236}">
              <a16:creationId xmlns:a16="http://schemas.microsoft.com/office/drawing/2014/main" id="{A6DF3A8B-8F90-4371-A1F0-6D53A0D0CAD8}"/>
            </a:ext>
          </a:extLst>
        </xdr:cNvPr>
        <xdr:cNvSpPr txBox="1"/>
      </xdr:nvSpPr>
      <xdr:spPr>
        <a:xfrm>
          <a:off x="4763654" y="5848928"/>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rgbClr val="602928"/>
              </a:solidFill>
              <a:latin typeface="Segoe UI Black" panose="020B0A02040204020203" pitchFamily="34" charset="0"/>
              <a:ea typeface="Segoe UI Black" panose="020B0A02040204020203" pitchFamily="34" charset="0"/>
            </a:rPr>
            <a:t>Attrition by Age Group</a:t>
          </a:r>
        </a:p>
        <a:p>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2</xdr:colOff>
      <xdr:row>36</xdr:row>
      <xdr:rowOff>1</xdr:rowOff>
    </xdr:from>
    <xdr:to>
      <xdr:col>19</xdr:col>
      <xdr:colOff>92364</xdr:colOff>
      <xdr:row>47</xdr:row>
      <xdr:rowOff>103909</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5FA35C0A-3F2B-4350-92E4-E575FDC950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534402" y="6621781"/>
              <a:ext cx="3140362" cy="21155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170873</xdr:colOff>
      <xdr:row>31</xdr:row>
      <xdr:rowOff>78509</xdr:rowOff>
    </xdr:from>
    <xdr:to>
      <xdr:col>20</xdr:col>
      <xdr:colOff>55418</xdr:colOff>
      <xdr:row>33</xdr:row>
      <xdr:rowOff>9237</xdr:rowOff>
    </xdr:to>
    <xdr:sp macro="" textlink="">
      <xdr:nvSpPr>
        <xdr:cNvPr id="55" name="TextBox 54">
          <a:extLst>
            <a:ext uri="{FF2B5EF4-FFF2-40B4-BE49-F238E27FC236}">
              <a16:creationId xmlns:a16="http://schemas.microsoft.com/office/drawing/2014/main" id="{56564DE8-D895-4492-98FD-08B6E3F8A18B}"/>
            </a:ext>
          </a:extLst>
        </xdr:cNvPr>
        <xdr:cNvSpPr txBox="1"/>
      </xdr:nvSpPr>
      <xdr:spPr>
        <a:xfrm>
          <a:off x="8737600" y="5839691"/>
          <a:ext cx="3556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rgbClr val="602928"/>
              </a:solidFill>
              <a:latin typeface="Segoe UI Black" panose="020B0A02040204020203" pitchFamily="34" charset="0"/>
              <a:ea typeface="Segoe UI Black" panose="020B0A02040204020203" pitchFamily="34" charset="0"/>
            </a:rPr>
            <a:t>Attrition by Marital Status</a:t>
          </a:r>
          <a:endParaRPr lang="en-IN" sz="1400">
            <a:solidFill>
              <a:srgbClr val="602928"/>
            </a:solidFill>
            <a:latin typeface="Segoe UI Black" panose="020B0A02040204020203" pitchFamily="34" charset="0"/>
            <a:ea typeface="Segoe UI Black" panose="020B0A02040204020203" pitchFamily="34" charset="0"/>
          </a:endParaRPr>
        </a:p>
      </xdr:txBody>
    </xdr:sp>
    <xdr:clientData/>
  </xdr:twoCellAnchor>
  <xdr:twoCellAnchor editAs="oneCell">
    <xdr:from>
      <xdr:col>22</xdr:col>
      <xdr:colOff>11545</xdr:colOff>
      <xdr:row>35</xdr:row>
      <xdr:rowOff>138547</xdr:rowOff>
    </xdr:from>
    <xdr:to>
      <xdr:col>24</xdr:col>
      <xdr:colOff>11545</xdr:colOff>
      <xdr:row>43</xdr:row>
      <xdr:rowOff>138547</xdr:rowOff>
    </xdr:to>
    <mc:AlternateContent xmlns:mc="http://schemas.openxmlformats.org/markup-compatibility/2006" xmlns:a14="http://schemas.microsoft.com/office/drawing/2010/main">
      <mc:Choice Requires="a14">
        <xdr:graphicFrame macro="">
          <xdr:nvGraphicFramePr>
            <xdr:cNvPr id="56" name="Department 1">
              <a:extLst>
                <a:ext uri="{FF2B5EF4-FFF2-40B4-BE49-F238E27FC236}">
                  <a16:creationId xmlns:a16="http://schemas.microsoft.com/office/drawing/2014/main" id="{25A63B3D-B5EE-47AC-96A9-E2A78A223E3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473545" y="6638638"/>
              <a:ext cx="1223818" cy="1477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277091</xdr:colOff>
      <xdr:row>35</xdr:row>
      <xdr:rowOff>138084</xdr:rowOff>
    </xdr:from>
    <xdr:to>
      <xdr:col>21</xdr:col>
      <xdr:colOff>565727</xdr:colOff>
      <xdr:row>47</xdr:row>
      <xdr:rowOff>69273</xdr:rowOff>
    </xdr:to>
    <mc:AlternateContent xmlns:mc="http://schemas.openxmlformats.org/markup-compatibility/2006" xmlns:a14="http://schemas.microsoft.com/office/drawing/2010/main">
      <mc:Choice Requires="a14">
        <xdr:graphicFrame macro="">
          <xdr:nvGraphicFramePr>
            <xdr:cNvPr id="57" name="Education Field 3">
              <a:extLst>
                <a:ext uri="{FF2B5EF4-FFF2-40B4-BE49-F238E27FC236}">
                  <a16:creationId xmlns:a16="http://schemas.microsoft.com/office/drawing/2014/main" id="{BA854324-E76F-4ED9-A048-E2F3BF2E96AA}"/>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1903364" y="6638175"/>
              <a:ext cx="1512454" cy="214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288637</xdr:colOff>
      <xdr:row>33</xdr:row>
      <xdr:rowOff>92364</xdr:rowOff>
    </xdr:from>
    <xdr:to>
      <xdr:col>21</xdr:col>
      <xdr:colOff>588819</xdr:colOff>
      <xdr:row>35</xdr:row>
      <xdr:rowOff>23091</xdr:rowOff>
    </xdr:to>
    <xdr:sp macro="" textlink="">
      <xdr:nvSpPr>
        <xdr:cNvPr id="59" name="TextBox 58">
          <a:extLst>
            <a:ext uri="{FF2B5EF4-FFF2-40B4-BE49-F238E27FC236}">
              <a16:creationId xmlns:a16="http://schemas.microsoft.com/office/drawing/2014/main" id="{31858CE4-EA65-E93D-1FBF-28F34C2AC66A}"/>
            </a:ext>
          </a:extLst>
        </xdr:cNvPr>
        <xdr:cNvSpPr txBox="1"/>
      </xdr:nvSpPr>
      <xdr:spPr>
        <a:xfrm>
          <a:off x="11914910" y="6223000"/>
          <a:ext cx="1524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Education Field</a:t>
          </a:r>
        </a:p>
      </xdr:txBody>
    </xdr:sp>
    <xdr:clientData/>
  </xdr:twoCellAnchor>
  <xdr:twoCellAnchor>
    <xdr:from>
      <xdr:col>21</xdr:col>
      <xdr:colOff>602673</xdr:colOff>
      <xdr:row>33</xdr:row>
      <xdr:rowOff>94673</xdr:rowOff>
    </xdr:from>
    <xdr:to>
      <xdr:col>24</xdr:col>
      <xdr:colOff>290946</xdr:colOff>
      <xdr:row>35</xdr:row>
      <xdr:rowOff>25400</xdr:rowOff>
    </xdr:to>
    <xdr:sp macro="" textlink="">
      <xdr:nvSpPr>
        <xdr:cNvPr id="60" name="TextBox 59">
          <a:extLst>
            <a:ext uri="{FF2B5EF4-FFF2-40B4-BE49-F238E27FC236}">
              <a16:creationId xmlns:a16="http://schemas.microsoft.com/office/drawing/2014/main" id="{43BBD57D-5F83-4070-B5FD-0729CD536123}"/>
            </a:ext>
          </a:extLst>
        </xdr:cNvPr>
        <xdr:cNvSpPr txBox="1"/>
      </xdr:nvSpPr>
      <xdr:spPr>
        <a:xfrm>
          <a:off x="13452764" y="6225309"/>
          <a:ext cx="1524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Department</a:t>
          </a:r>
        </a:p>
      </xdr:txBody>
    </xdr:sp>
    <xdr:clientData/>
  </xdr:twoCellAnchor>
  <xdr:twoCellAnchor>
    <xdr:from>
      <xdr:col>2</xdr:col>
      <xdr:colOff>129310</xdr:colOff>
      <xdr:row>16</xdr:row>
      <xdr:rowOff>117765</xdr:rowOff>
    </xdr:from>
    <xdr:to>
      <xdr:col>4</xdr:col>
      <xdr:colOff>429492</xdr:colOff>
      <xdr:row>18</xdr:row>
      <xdr:rowOff>13856</xdr:rowOff>
    </xdr:to>
    <xdr:sp macro="" textlink="">
      <xdr:nvSpPr>
        <xdr:cNvPr id="61" name="TextBox 60">
          <a:extLst>
            <a:ext uri="{FF2B5EF4-FFF2-40B4-BE49-F238E27FC236}">
              <a16:creationId xmlns:a16="http://schemas.microsoft.com/office/drawing/2014/main" id="{A0FCCF12-A170-414C-8C94-D08807D22B90}"/>
            </a:ext>
          </a:extLst>
        </xdr:cNvPr>
        <xdr:cNvSpPr txBox="1"/>
      </xdr:nvSpPr>
      <xdr:spPr>
        <a:xfrm>
          <a:off x="1353128" y="3073401"/>
          <a:ext cx="1524000"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Gender</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0.325</cdr:x>
      <cdr:y>0.25614</cdr:y>
    </cdr:from>
    <cdr:to>
      <cdr:x>0.86667</cdr:x>
      <cdr:y>0.76831</cdr:y>
    </cdr:to>
    <cdr:sp macro="" textlink="Rating!$B$6">
      <cdr:nvSpPr>
        <cdr:cNvPr id="2" name="TextBox 1">
          <a:extLst xmlns:a="http://schemas.openxmlformats.org/drawingml/2006/main">
            <a:ext uri="{FF2B5EF4-FFF2-40B4-BE49-F238E27FC236}">
              <a16:creationId xmlns:a16="http://schemas.microsoft.com/office/drawing/2014/main" id="{A37EB9DB-AD58-8184-FB1D-17B8CEBF89D2}"/>
            </a:ext>
          </a:extLst>
        </cdr:cNvPr>
        <cdr:cNvSpPr txBox="1"/>
      </cdr:nvSpPr>
      <cdr:spPr>
        <a:xfrm xmlns:a="http://schemas.openxmlformats.org/drawingml/2006/main">
          <a:off x="450272" y="242510"/>
          <a:ext cx="750454" cy="48491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AA9B9833-B8E5-40FB-83CA-BA11CB17F9B3}" type="TxLink">
            <a:rPr lang="en-US" sz="1400" b="0" i="0" u="none" strike="noStrike">
              <a:solidFill>
                <a:srgbClr val="002060"/>
              </a:solidFill>
              <a:latin typeface="Segoe UI Black" panose="020B0A02040204020203" pitchFamily="34" charset="0"/>
              <a:ea typeface="Segoe UI Black" panose="020B0A02040204020203" pitchFamily="34" charset="0"/>
            </a:rPr>
            <a:pPr/>
            <a:t>2.6</a:t>
          </a:fld>
          <a:endParaRPr lang="en-IN" sz="1400">
            <a:solidFill>
              <a:srgbClr val="002060"/>
            </a:solidFill>
            <a:latin typeface="Segoe UI Black" panose="020B0A02040204020203" pitchFamily="34" charset="0"/>
            <a:ea typeface="Segoe UI Black" panose="020B0A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9.542451851848" createdVersion="8" refreshedVersion="8" minRefreshableVersion="3" recordCount="1470" xr:uid="{0C669F52-E1AB-41E9-9E8D-9A7CBC6E3E7E}">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35452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1B2D9-8867-47AA-946F-D4D8C396308C}"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3FD6C-1B99-4359-8931-B0B403471FB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1CEF25-314B-41A1-BFF9-001D65DDE441}"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2526D7-387A-4DA8-96FB-F8B79586CF44}"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f">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880B3-D2A6-44DA-A7E6-54DF8478A5CB}"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D5AAF-AC7C-4ED4-B813-773DA04C46F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837FE2-B7DF-4790-BB07-37E6FE0B3415}"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tt">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C8F2AB-927A-47BA-AB2C-B54880216307}"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0E939EA-34BB-488F-8D39-D4DD7FD4094D}" sourceName="Gender">
  <pivotTables>
    <pivotTable tabId="5" name="Gender"/>
    <pivotTable tabId="9" name="Attrition by Age Group"/>
    <pivotTable tabId="7" name="Attrition by Job"/>
    <pivotTable tabId="10" name="Attrition by Marital Status"/>
    <pivotTable tabId="8" name="Dept wise Attrition"/>
    <pivotTable tabId="6" name="Education by Attrition"/>
    <pivotTable tabId="2" name="KPI"/>
    <pivotTable tabId="4" name="Rating"/>
  </pivotTables>
  <data>
    <tabular pivotCacheId="19354520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C7B3906-7CA0-44D8-9663-CC0FCCDDEB62}" sourceName="Department">
  <pivotTables>
    <pivotTable tabId="10" name="Attrition by Marital Status"/>
    <pivotTable tabId="9" name="Attrition by Age Group"/>
    <pivotTable tabId="7" name="Attrition by Job"/>
    <pivotTable tabId="8" name="Dept wise Attrition"/>
    <pivotTable tabId="6" name="Education by Attrition"/>
    <pivotTable tabId="5" name="Gender"/>
    <pivotTable tabId="2" name="KPI"/>
    <pivotTable tabId="4" name="Rating"/>
  </pivotTables>
  <data>
    <tabular pivotCacheId="19354520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B56BC5A-2178-43D2-8E9D-F60771A9FAF2}" sourceName="Education Field">
  <pivotTables>
    <pivotTable tabId="10" name="Attrition by Marital Status"/>
    <pivotTable tabId="9" name="Attrition by Age Group"/>
    <pivotTable tabId="7" name="Attrition by Job"/>
    <pivotTable tabId="8" name="Dept wise Attrition"/>
    <pivotTable tabId="6" name="Education by Attrition"/>
    <pivotTable tabId="5" name="Gender"/>
    <pivotTable tabId="2" name="KPI"/>
    <pivotTable tabId="4" name="Rating"/>
  </pivotTables>
  <data>
    <tabular pivotCacheId="193545209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C4C84E-9F3D-463A-B57C-50D1C83DE88B}" cache="Slicer_Gender1" caption="Gender" rowHeight="247650"/>
  <slicer name="Education Field" xr10:uid="{514EBB8E-9B49-47B8-B6AB-AD1DCBBF784A}" cache="Slicer_Education_Field2" caption="Education 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4FA3FA4-10D8-425C-B265-16AD39C15460}" cache="Slicer_Gender1" caption="Gender" rowHeight="247650"/>
  <slicer name="Education Field 1" xr10:uid="{0425F43F-30F9-40E9-B0DF-10CE5BD655CD}" cache="Slicer_Education_Field2" caption="Education Fiel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03E990C-DAFA-4E98-A7DE-776030452241}" cache="Slicer_Gender1" columnCount="2" style="Slicer Style 1" rowHeight="247650"/>
  <slicer name="Department 1" xr10:uid="{02B020AF-9DBD-4529-B672-42C0D1577F7B}" cache="Slicer_Department" style="Slicer Style 1" rowHeight="247650"/>
  <slicer name="Education Field 3" xr10:uid="{9BFE0687-AAE6-49D8-A780-CF2FDADEED8E}" cache="Slicer_Education_Field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02AE10-370B-48E2-A18B-1C930AE3BEF5}" name="Table1" displayName="Table1" ref="A1:AR1471" totalsRowShown="0">
  <autoFilter ref="A1:AR1471" xr:uid="{7D02AE10-370B-48E2-A18B-1C930AE3BEF5}"/>
  <tableColumns count="44">
    <tableColumn id="1" xr3:uid="{86389543-6EAD-4D34-8713-AE0F1103DBD9}" name="Attrition"/>
    <tableColumn id="2" xr3:uid="{1D23AB92-05F2-4C10-A4DC-C74FC5401F67}" name="Business Travel"/>
    <tableColumn id="3" xr3:uid="{2EFB7C74-A59B-4EE5-A526-918C28B70ADE}" name="CF_age band"/>
    <tableColumn id="4" xr3:uid="{83FEAEEB-0320-4E83-858E-FFA5E75D7C05}" name="CF_attrition label"/>
    <tableColumn id="5" xr3:uid="{064AA150-8C97-4CA2-9560-F13CC6E1E1C2}" name="Department"/>
    <tableColumn id="6" xr3:uid="{B8E5A5C3-DD57-4EAB-A0AB-1FB268F68D98}" name="Education Field"/>
    <tableColumn id="7" xr3:uid="{EE24C1E1-720F-4F74-98EF-7D0EE72E44E9}" name="emp no"/>
    <tableColumn id="8" xr3:uid="{64FF0677-44E2-4016-B612-C9F014747B00}" name="Employee Number"/>
    <tableColumn id="9" xr3:uid="{07779B5B-8A7E-43B7-97E5-4570B1969CBA}" name="Gender"/>
    <tableColumn id="10" xr3:uid="{B394F137-619D-4D61-A635-450CC7C96368}" name="Job Role"/>
    <tableColumn id="11" xr3:uid="{B238BD5E-F113-493A-A568-71462E442D88}" name="Marital Status"/>
    <tableColumn id="12" xr3:uid="{F19D55A1-1884-41D7-ABE1-89227D55C1BD}" name="Over Time"/>
    <tableColumn id="13" xr3:uid="{3C7E48AD-E14B-4C55-8F6E-9183318DF6EA}" name="Over18"/>
    <tableColumn id="14" xr3:uid="{07FBAB0D-EB90-4016-A167-3A11F84B5749}" name="Training Times Last Year"/>
    <tableColumn id="15" xr3:uid="{DC8B487E-E5EC-4D89-9072-53650F0CF8C0}" name="-2"/>
    <tableColumn id="16" xr3:uid="{3F6BFDFF-EE09-4DEF-853F-4289696CEB2A}" name="0"/>
    <tableColumn id="17" xr3:uid="{F470B4F3-2073-4800-969A-969C118B8D2A}" name="Age"/>
    <tableColumn id="18" xr3:uid="{EE01276F-7AF1-491C-964A-8918B1A58D78}" name="CF_attrition count"/>
    <tableColumn id="19" xr3:uid="{900703EE-1C33-4E0B-9FCB-7138C2DBE541}" name="CF_attrition counts"/>
    <tableColumn id="20" xr3:uid="{BDCA7621-5127-4814-85F5-0B8340028B0F}" name="CF_attrition rate"/>
    <tableColumn id="21" xr3:uid="{7C210942-D76B-42A2-BC21-3C55DC09FC91}" name="CF_current Employee"/>
    <tableColumn id="22" xr3:uid="{1C6146CB-CED6-457E-AE8C-A0AB88E252D8}" name="Daily Rate"/>
    <tableColumn id="23" xr3:uid="{1AB97DFB-6D58-4E75-98D9-5A617B44B555}" name="Distance From Home"/>
    <tableColumn id="24" xr3:uid="{FCC1221E-7C0E-4117-B897-0F2FD4350EF7}" name="Education"/>
    <tableColumn id="25" xr3:uid="{6BEB4DEB-EFA6-4571-930A-28FDEAC6C611}" name="Employee Count"/>
    <tableColumn id="26" xr3:uid="{80861973-8339-4EE4-BB95-4A37E2FDDAC2}" name="Environment Satisfaction"/>
    <tableColumn id="27" xr3:uid="{34C937DA-B76D-41CA-BE8F-1EBE573CA419}" name="Hourly Rate"/>
    <tableColumn id="28" xr3:uid="{6BF72FAA-43C2-4A3C-9A13-AAE8A1BC5EC3}" name="Job Involvement"/>
    <tableColumn id="29" xr3:uid="{293A07BD-BA84-4524-99FF-CC16586E7413}" name="Job Level"/>
    <tableColumn id="30" xr3:uid="{EDCC8C7B-51D2-43DD-98FD-ED9E9BD8D24D}" name="Job Satisfaction"/>
    <tableColumn id="31" xr3:uid="{B2C211D6-2E5F-4198-924F-C97085C545E1}" name="Monthly Income"/>
    <tableColumn id="32" xr3:uid="{CC8619CC-E244-4A6F-A4FD-C160619DC7B0}" name="Monthly Rate"/>
    <tableColumn id="33" xr3:uid="{8DCC41EF-D6EF-4ADD-86A4-E059EF0712A3}" name="Num Companies Worked"/>
    <tableColumn id="34" xr3:uid="{9433A22E-D1B5-4366-AF77-B0873B03B18F}" name="Percent Salary Hike"/>
    <tableColumn id="35" xr3:uid="{CA307556-9AD7-433A-995F-EAA44CB4D35C}" name="Performance Rating"/>
    <tableColumn id="36" xr3:uid="{80392474-680D-48AE-BCE1-D7E69BEBC63E}" name="Relationship Satisfaction"/>
    <tableColumn id="37" xr3:uid="{CA74E6FC-5A36-4F25-A4A9-44601F37DFAC}" name="Standard Hours"/>
    <tableColumn id="38" xr3:uid="{1B947C57-C139-44B1-8BF9-208A25086D2B}" name="Stock Option Level"/>
    <tableColumn id="39" xr3:uid="{830196CB-4BFC-450C-89FF-A0371AEB3A41}" name="Total Working Years"/>
    <tableColumn id="40" xr3:uid="{806B4F85-26B8-4D7E-88A6-0217956CCB74}" name="Work Life Balance"/>
    <tableColumn id="41" xr3:uid="{944218F4-7AE4-44C3-870E-1C8381878441}" name="Years At Company"/>
    <tableColumn id="42" xr3:uid="{57FA1DF2-6CCF-4EAF-B264-A1168B4F47A4}" name="Years In Current Role"/>
    <tableColumn id="43" xr3:uid="{DD33292D-3351-41BE-AC0B-34716BC75686}" name="Years Since Last Promotion"/>
    <tableColumn id="44" xr3:uid="{B09460C0-0DDA-41BB-A055-70ACE273C901}"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5005-813E-4D8F-B163-A0674B63BDCB}">
  <dimension ref="A3:E8"/>
  <sheetViews>
    <sheetView workbookViewId="0">
      <selection activeCell="A8" sqref="A8"/>
    </sheetView>
  </sheetViews>
  <sheetFormatPr defaultRowHeight="14.4" x14ac:dyDescent="0.3"/>
  <cols>
    <col min="1" max="1" width="23.77734375" bestFit="1" customWidth="1"/>
    <col min="2" max="2" width="22.109375" bestFit="1" customWidth="1"/>
    <col min="3" max="3" width="12.77734375" bestFit="1" customWidth="1"/>
    <col min="4" max="4" width="15" bestFit="1" customWidth="1"/>
    <col min="5" max="5" width="11.33203125" bestFit="1" customWidth="1"/>
  </cols>
  <sheetData>
    <row r="3" spans="1:5" x14ac:dyDescent="0.3">
      <c r="A3" t="s">
        <v>1554</v>
      </c>
      <c r="B3" t="s">
        <v>1555</v>
      </c>
      <c r="C3" t="s">
        <v>1556</v>
      </c>
    </row>
    <row r="4" spans="1:5" x14ac:dyDescent="0.3">
      <c r="A4" s="1">
        <v>1470</v>
      </c>
      <c r="B4" s="1">
        <v>237</v>
      </c>
      <c r="C4" s="1">
        <v>36.923809523809524</v>
      </c>
    </row>
    <row r="7" spans="1:5" x14ac:dyDescent="0.3">
      <c r="A7" t="s">
        <v>1557</v>
      </c>
      <c r="B7" t="s">
        <v>1558</v>
      </c>
      <c r="C7" t="s">
        <v>1559</v>
      </c>
      <c r="D7" t="s">
        <v>1561</v>
      </c>
      <c r="E7" t="s">
        <v>1560</v>
      </c>
    </row>
    <row r="8" spans="1:5" x14ac:dyDescent="0.3">
      <c r="A8">
        <f>GETPIVOTDATA("Count of Employee Number",$A$3)</f>
        <v>1470</v>
      </c>
      <c r="B8">
        <f>GETPIVOTDATA("Sum of CF_attrition count",$A$3)</f>
        <v>237</v>
      </c>
      <c r="C8" s="5">
        <f>GETPIVOTDATA("Average of Age",$A$3)</f>
        <v>36.923809523809524</v>
      </c>
      <c r="D8">
        <f>A8-B8</f>
        <v>1233</v>
      </c>
      <c r="E8" s="3">
        <f>B8/A8</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5F3B-4BCD-48C7-B2A6-8E31759E829B}">
  <dimension ref="A3:E7"/>
  <sheetViews>
    <sheetView topLeftCell="A6" workbookViewId="0">
      <selection activeCell="A29" sqref="A29"/>
    </sheetView>
  </sheetViews>
  <sheetFormatPr defaultRowHeight="14.4" x14ac:dyDescent="0.3"/>
  <cols>
    <col min="1" max="1" width="23.21875" bestFit="1" customWidth="1"/>
  </cols>
  <sheetData>
    <row r="3" spans="1:5" x14ac:dyDescent="0.3">
      <c r="A3" t="s">
        <v>1562</v>
      </c>
    </row>
    <row r="4" spans="1:5" x14ac:dyDescent="0.3">
      <c r="A4" s="4">
        <v>2.6265306122448981</v>
      </c>
    </row>
    <row r="6" spans="1:5" x14ac:dyDescent="0.3">
      <c r="A6" t="s">
        <v>1563</v>
      </c>
      <c r="B6" s="4">
        <f>GETPIVOTDATA("Job Satisfaction",$A$3)</f>
        <v>2.6265306122448981</v>
      </c>
      <c r="C6">
        <f>B6/4</f>
        <v>0.65663265306122454</v>
      </c>
      <c r="E6" t="s">
        <v>1565</v>
      </c>
    </row>
    <row r="7" spans="1:5" x14ac:dyDescent="0.3">
      <c r="A7" t="s">
        <v>1564</v>
      </c>
      <c r="B7" s="4">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BC999-BE19-4385-A0B0-397E055553D9}">
  <dimension ref="A3:C11"/>
  <sheetViews>
    <sheetView workbookViewId="0">
      <selection activeCell="C10" activeCellId="1" sqref="C11 C10"/>
    </sheetView>
  </sheetViews>
  <sheetFormatPr defaultRowHeight="14.4" x14ac:dyDescent="0.3"/>
  <cols>
    <col min="1" max="1" width="12.44140625" bestFit="1" customWidth="1"/>
    <col min="2" max="2" width="20.6640625" bestFit="1" customWidth="1"/>
  </cols>
  <sheetData>
    <row r="3" spans="1:3" x14ac:dyDescent="0.3">
      <c r="A3" s="8" t="s">
        <v>1566</v>
      </c>
      <c r="B3" t="s">
        <v>1568</v>
      </c>
    </row>
    <row r="4" spans="1:3" x14ac:dyDescent="0.3">
      <c r="A4" s="9" t="s">
        <v>49</v>
      </c>
      <c r="B4" s="1">
        <v>588</v>
      </c>
    </row>
    <row r="5" spans="1:3" x14ac:dyDescent="0.3">
      <c r="A5" s="9" t="s">
        <v>60</v>
      </c>
      <c r="B5" s="1">
        <v>882</v>
      </c>
    </row>
    <row r="6" spans="1:3" x14ac:dyDescent="0.3">
      <c r="A6" s="9" t="s">
        <v>1567</v>
      </c>
      <c r="B6" s="1">
        <v>1470</v>
      </c>
    </row>
    <row r="10" spans="1:3" x14ac:dyDescent="0.3">
      <c r="A10" t="s">
        <v>49</v>
      </c>
      <c r="B10">
        <f>IFERROR(GETPIVOTDATA("Employee Count",$A$3,"Gender","Female"),0)</f>
        <v>588</v>
      </c>
      <c r="C10" s="2">
        <f>IFERROR(B10/($B$10+$B$11),0)</f>
        <v>0.4</v>
      </c>
    </row>
    <row r="11" spans="1:3" x14ac:dyDescent="0.3">
      <c r="A11" t="s">
        <v>60</v>
      </c>
      <c r="B11">
        <f>IFERROR(GETPIVOTDATA("Employee Count",$A$3,"Gender","Male"),0)</f>
        <v>882</v>
      </c>
      <c r="C11" s="2">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F0D7-F79A-43C3-971F-9A38A7E8F7A2}">
  <dimension ref="A3:B9"/>
  <sheetViews>
    <sheetView workbookViewId="0">
      <selection activeCell="B21" sqref="B21"/>
    </sheetView>
  </sheetViews>
  <sheetFormatPr defaultRowHeight="14.4" x14ac:dyDescent="0.3"/>
  <cols>
    <col min="1" max="1" width="16" bestFit="1" customWidth="1"/>
    <col min="2" max="2" width="22.109375" bestFit="1" customWidth="1"/>
  </cols>
  <sheetData>
    <row r="3" spans="1:2" x14ac:dyDescent="0.3">
      <c r="A3" s="8" t="s">
        <v>1569</v>
      </c>
      <c r="B3" t="s">
        <v>1555</v>
      </c>
    </row>
    <row r="4" spans="1:2" x14ac:dyDescent="0.3">
      <c r="A4" s="9" t="s">
        <v>132</v>
      </c>
      <c r="B4" s="1">
        <v>5</v>
      </c>
    </row>
    <row r="5" spans="1:2" x14ac:dyDescent="0.3">
      <c r="A5" s="9" t="s">
        <v>63</v>
      </c>
      <c r="B5" s="1">
        <v>31</v>
      </c>
    </row>
    <row r="6" spans="1:2" x14ac:dyDescent="0.3">
      <c r="A6" s="9" t="s">
        <v>53</v>
      </c>
      <c r="B6" s="1">
        <v>44</v>
      </c>
    </row>
    <row r="7" spans="1:2" x14ac:dyDescent="0.3">
      <c r="A7" s="9" t="s">
        <v>69</v>
      </c>
      <c r="B7" s="1">
        <v>58</v>
      </c>
    </row>
    <row r="8" spans="1:2" x14ac:dyDescent="0.3">
      <c r="A8" s="9" t="s">
        <v>75</v>
      </c>
      <c r="B8" s="1">
        <v>99</v>
      </c>
    </row>
    <row r="9" spans="1:2" x14ac:dyDescent="0.3">
      <c r="A9" s="9" t="s">
        <v>1567</v>
      </c>
      <c r="B9" s="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9AD3-5F83-4CEB-ADDC-9BFF812B76BE}">
  <dimension ref="A3:F13"/>
  <sheetViews>
    <sheetView workbookViewId="0">
      <selection activeCell="E4" sqref="E4:F12"/>
    </sheetView>
  </sheetViews>
  <sheetFormatPr defaultRowHeight="14.4" x14ac:dyDescent="0.3"/>
  <cols>
    <col min="1" max="1" width="22.6640625" bestFit="1" customWidth="1"/>
    <col min="2" max="2" width="22.109375" bestFit="1" customWidth="1"/>
    <col min="5" max="5" width="22.6640625" bestFit="1" customWidth="1"/>
  </cols>
  <sheetData>
    <row r="3" spans="1:6" x14ac:dyDescent="0.3">
      <c r="A3" s="8" t="s">
        <v>1566</v>
      </c>
      <c r="B3" t="s">
        <v>1555</v>
      </c>
      <c r="E3" t="s">
        <v>9</v>
      </c>
      <c r="F3" t="s">
        <v>0</v>
      </c>
    </row>
    <row r="4" spans="1:6" x14ac:dyDescent="0.3">
      <c r="A4" s="9" t="s">
        <v>81</v>
      </c>
      <c r="B4" s="1">
        <v>9</v>
      </c>
      <c r="E4" t="str">
        <f>A4</f>
        <v>Healthcare Representative</v>
      </c>
      <c r="F4">
        <f>GETPIVOTDATA("CF_attrition count",$A$3,"Job Role",A4)</f>
        <v>9</v>
      </c>
    </row>
    <row r="5" spans="1:6" x14ac:dyDescent="0.3">
      <c r="A5" s="9" t="s">
        <v>161</v>
      </c>
      <c r="B5" s="1">
        <v>12</v>
      </c>
      <c r="E5" t="str">
        <f t="shared" ref="E5:E12" si="0">A5</f>
        <v>Human Resources</v>
      </c>
      <c r="F5">
        <f t="shared" ref="F5:F12" si="1">GETPIVOTDATA("CF_attrition count",$A$3,"Job Role",A5)</f>
        <v>12</v>
      </c>
    </row>
    <row r="6" spans="1:6" x14ac:dyDescent="0.3">
      <c r="A6" s="9" t="s">
        <v>66</v>
      </c>
      <c r="B6" s="1">
        <v>62</v>
      </c>
      <c r="E6" t="str">
        <f t="shared" si="0"/>
        <v>Laboratory Technician</v>
      </c>
      <c r="F6">
        <f t="shared" si="1"/>
        <v>62</v>
      </c>
    </row>
    <row r="7" spans="1:6" x14ac:dyDescent="0.3">
      <c r="A7" s="9" t="s">
        <v>93</v>
      </c>
      <c r="B7" s="1">
        <v>5</v>
      </c>
      <c r="E7" t="str">
        <f t="shared" si="0"/>
        <v>Manager</v>
      </c>
      <c r="F7">
        <f t="shared" si="1"/>
        <v>5</v>
      </c>
    </row>
    <row r="8" spans="1:6" x14ac:dyDescent="0.3">
      <c r="A8" s="9" t="s">
        <v>79</v>
      </c>
      <c r="B8" s="1">
        <v>10</v>
      </c>
      <c r="E8" t="str">
        <f t="shared" si="0"/>
        <v>Manufacturing Director</v>
      </c>
      <c r="F8">
        <f t="shared" si="1"/>
        <v>10</v>
      </c>
    </row>
    <row r="9" spans="1:6" x14ac:dyDescent="0.3">
      <c r="A9" s="9" t="s">
        <v>99</v>
      </c>
      <c r="B9" s="1">
        <v>2</v>
      </c>
      <c r="E9" t="str">
        <f t="shared" si="0"/>
        <v>Research Director</v>
      </c>
      <c r="F9">
        <f t="shared" si="1"/>
        <v>2</v>
      </c>
    </row>
    <row r="10" spans="1:6" x14ac:dyDescent="0.3">
      <c r="A10" s="9" t="s">
        <v>61</v>
      </c>
      <c r="B10" s="1">
        <v>47</v>
      </c>
      <c r="E10" t="str">
        <f t="shared" si="0"/>
        <v>Research Scientist</v>
      </c>
      <c r="F10">
        <f t="shared" si="1"/>
        <v>47</v>
      </c>
    </row>
    <row r="11" spans="1:6" x14ac:dyDescent="0.3">
      <c r="A11" s="9" t="s">
        <v>50</v>
      </c>
      <c r="B11" s="1">
        <v>57</v>
      </c>
      <c r="E11" t="str">
        <f t="shared" si="0"/>
        <v>Sales Executive</v>
      </c>
      <c r="F11">
        <f t="shared" si="1"/>
        <v>57</v>
      </c>
    </row>
    <row r="12" spans="1:6" x14ac:dyDescent="0.3">
      <c r="A12" s="9" t="s">
        <v>97</v>
      </c>
      <c r="B12" s="1">
        <v>33</v>
      </c>
      <c r="E12" t="str">
        <f t="shared" si="0"/>
        <v>Sales Representative</v>
      </c>
      <c r="F12">
        <f t="shared" si="1"/>
        <v>33</v>
      </c>
    </row>
    <row r="13" spans="1:6" x14ac:dyDescent="0.3">
      <c r="A13" s="9" t="s">
        <v>1567</v>
      </c>
      <c r="B13"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0EEB-A199-46AF-8E0C-B4FA7D1AF7C0}">
  <dimension ref="A3:B7"/>
  <sheetViews>
    <sheetView workbookViewId="0">
      <selection activeCell="B4" sqref="B4"/>
    </sheetView>
  </sheetViews>
  <sheetFormatPr defaultRowHeight="14.4" x14ac:dyDescent="0.3"/>
  <cols>
    <col min="1" max="1" width="12.44140625" bestFit="1" customWidth="1"/>
    <col min="2" max="2" width="22.109375" bestFit="1" customWidth="1"/>
  </cols>
  <sheetData>
    <row r="3" spans="1:2" x14ac:dyDescent="0.3">
      <c r="A3" s="8" t="s">
        <v>1566</v>
      </c>
      <c r="B3" t="s">
        <v>1555</v>
      </c>
    </row>
    <row r="4" spans="1:2" x14ac:dyDescent="0.3">
      <c r="A4" s="9" t="s">
        <v>159</v>
      </c>
      <c r="B4" s="10">
        <v>5.0632911392405063E-2</v>
      </c>
    </row>
    <row r="5" spans="1:2" x14ac:dyDescent="0.3">
      <c r="A5" s="9" t="s">
        <v>58</v>
      </c>
      <c r="B5" s="10">
        <v>0.56118143459915615</v>
      </c>
    </row>
    <row r="6" spans="1:2" x14ac:dyDescent="0.3">
      <c r="A6" s="9" t="s">
        <v>46</v>
      </c>
      <c r="B6" s="10">
        <v>0.3881856540084388</v>
      </c>
    </row>
    <row r="7" spans="1:2" x14ac:dyDescent="0.3">
      <c r="A7" s="9" t="s">
        <v>1567</v>
      </c>
      <c r="B7"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FC4-8BEE-4E3A-ABA8-BAA060D2D5C6}">
  <dimension ref="A3:B9"/>
  <sheetViews>
    <sheetView workbookViewId="0">
      <selection activeCell="B6" sqref="B6"/>
    </sheetView>
  </sheetViews>
  <sheetFormatPr defaultRowHeight="14.4" x14ac:dyDescent="0.3"/>
  <cols>
    <col min="1" max="1" width="10.5546875" bestFit="1" customWidth="1"/>
    <col min="2" max="2" width="22.109375" bestFit="1" customWidth="1"/>
  </cols>
  <sheetData>
    <row r="3" spans="1:2" x14ac:dyDescent="0.3">
      <c r="A3" s="8" t="s">
        <v>1570</v>
      </c>
      <c r="B3" t="s">
        <v>1555</v>
      </c>
    </row>
    <row r="4" spans="1:2" x14ac:dyDescent="0.3">
      <c r="A4" s="9" t="s">
        <v>67</v>
      </c>
      <c r="B4" s="1">
        <v>112</v>
      </c>
    </row>
    <row r="5" spans="1:2" x14ac:dyDescent="0.3">
      <c r="A5" s="9" t="s">
        <v>44</v>
      </c>
      <c r="B5" s="1">
        <v>51</v>
      </c>
    </row>
    <row r="6" spans="1:2" x14ac:dyDescent="0.3">
      <c r="A6" s="9" t="s">
        <v>90</v>
      </c>
      <c r="B6" s="1">
        <v>38</v>
      </c>
    </row>
    <row r="7" spans="1:2" x14ac:dyDescent="0.3">
      <c r="A7" s="9" t="s">
        <v>56</v>
      </c>
      <c r="B7" s="1">
        <v>25</v>
      </c>
    </row>
    <row r="8" spans="1:2" x14ac:dyDescent="0.3">
      <c r="A8" s="9" t="s">
        <v>73</v>
      </c>
      <c r="B8" s="1">
        <v>11</v>
      </c>
    </row>
    <row r="9" spans="1:2" x14ac:dyDescent="0.3">
      <c r="A9" s="9" t="s">
        <v>1567</v>
      </c>
      <c r="B9" s="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78178-0161-4712-850A-64FE34C62B59}">
  <dimension ref="A3:E7"/>
  <sheetViews>
    <sheetView workbookViewId="0">
      <selection activeCell="B5" sqref="B5"/>
    </sheetView>
  </sheetViews>
  <sheetFormatPr defaultRowHeight="14.4" x14ac:dyDescent="0.3"/>
  <cols>
    <col min="1" max="1" width="12.44140625" bestFit="1" customWidth="1"/>
    <col min="2" max="2" width="15.109375" bestFit="1" customWidth="1"/>
    <col min="4" max="4" width="11.33203125" bestFit="1" customWidth="1"/>
  </cols>
  <sheetData>
    <row r="3" spans="1:5" x14ac:dyDescent="0.3">
      <c r="A3" s="8" t="s">
        <v>1566</v>
      </c>
      <c r="B3" t="s">
        <v>1571</v>
      </c>
      <c r="D3" t="s">
        <v>1572</v>
      </c>
      <c r="E3" t="s">
        <v>0</v>
      </c>
    </row>
    <row r="4" spans="1:5" x14ac:dyDescent="0.3">
      <c r="A4" s="9" t="s">
        <v>77</v>
      </c>
      <c r="B4" s="1">
        <v>327</v>
      </c>
      <c r="D4" t="str">
        <f>A4</f>
        <v>Divorced</v>
      </c>
      <c r="E4">
        <f>GETPIVOTDATA("Attrition",$A$3,"Marital Status",A4)</f>
        <v>327</v>
      </c>
    </row>
    <row r="5" spans="1:5" x14ac:dyDescent="0.3">
      <c r="A5" s="9" t="s">
        <v>62</v>
      </c>
      <c r="B5" s="1">
        <v>673</v>
      </c>
      <c r="D5" t="str">
        <f>A5</f>
        <v>Married</v>
      </c>
      <c r="E5">
        <f>GETPIVOTDATA("Attrition",$A$3,"Marital Status",A5)</f>
        <v>673</v>
      </c>
    </row>
    <row r="6" spans="1:5" x14ac:dyDescent="0.3">
      <c r="A6" s="9" t="s">
        <v>51</v>
      </c>
      <c r="B6" s="1">
        <v>470</v>
      </c>
      <c r="D6" t="str">
        <f>A6</f>
        <v>Single</v>
      </c>
      <c r="E6">
        <f>GETPIVOTDATA("Attrition",$A$3,"Marital Status",A6)</f>
        <v>470</v>
      </c>
    </row>
    <row r="7" spans="1:5" x14ac:dyDescent="0.3">
      <c r="A7" s="9" t="s">
        <v>1567</v>
      </c>
      <c r="B7" s="1">
        <v>1470</v>
      </c>
    </row>
  </sheetData>
  <sortState xmlns:xlrd2="http://schemas.microsoft.com/office/spreadsheetml/2017/richdata2" ref="D4:E6">
    <sortCondition ref="E5:E6"/>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A135-8821-40F8-BF99-55211F8554BF}">
  <dimension ref="A1:AR1471"/>
  <sheetViews>
    <sheetView topLeftCell="A2" workbookViewId="0">
      <selection activeCell="C6" sqref="C6"/>
    </sheetView>
  </sheetViews>
  <sheetFormatPr defaultRowHeight="14.4" x14ac:dyDescent="0.3"/>
  <cols>
    <col min="1" max="1" width="9.77734375" customWidth="1"/>
    <col min="2" max="2" width="15.5546875" customWidth="1"/>
    <col min="3" max="3" width="13.33203125" customWidth="1"/>
    <col min="4" max="4" width="17.21875" customWidth="1"/>
    <col min="5" max="5" width="12.88671875" customWidth="1"/>
    <col min="6" max="6" width="15.77734375" customWidth="1"/>
    <col min="7" max="7" width="9" customWidth="1"/>
    <col min="8" max="8" width="18.21875" customWidth="1"/>
    <col min="9" max="9" width="9" customWidth="1"/>
    <col min="10" max="10" width="9.6640625" customWidth="1"/>
    <col min="11" max="11" width="14.44140625" customWidth="1"/>
    <col min="12" max="12" width="11.21875" customWidth="1"/>
    <col min="14" max="14" width="22.5546875" customWidth="1"/>
    <col min="18" max="18" width="17.6640625" customWidth="1"/>
    <col min="19" max="19" width="18.5546875" customWidth="1"/>
    <col min="20" max="20" width="16.33203125" customWidth="1"/>
    <col min="21" max="21" width="20.44140625" customWidth="1"/>
    <col min="22" max="22" width="11.21875" customWidth="1"/>
    <col min="23" max="23" width="20.21875" customWidth="1"/>
    <col min="24" max="24" width="11.21875" customWidth="1"/>
    <col min="25" max="25" width="16.33203125" customWidth="1"/>
    <col min="26" max="26" width="23.6640625" customWidth="1"/>
    <col min="27" max="27" width="12.44140625" customWidth="1"/>
    <col min="28" max="28" width="16.21875" customWidth="1"/>
    <col min="29" max="29" width="10.33203125" customWidth="1"/>
    <col min="30" max="31" width="16" customWidth="1"/>
    <col min="32" max="32" width="13.5546875" customWidth="1"/>
    <col min="33" max="33" width="23.44140625" customWidth="1"/>
    <col min="34" max="35" width="19.109375" customWidth="1"/>
    <col min="36" max="36" width="23.6640625" customWidth="1"/>
    <col min="37" max="37" width="15.77734375" customWidth="1"/>
    <col min="38" max="38" width="18.33203125" customWidth="1"/>
    <col min="39" max="39" width="19" customWidth="1"/>
    <col min="40" max="40" width="17.5546875" customWidth="1"/>
    <col min="41" max="41" width="17.77734375" customWidth="1"/>
    <col min="42" max="42" width="19.88671875" customWidth="1"/>
    <col min="43" max="43" width="25.21875" customWidth="1"/>
    <col min="44" max="44" width="22.8867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1552</v>
      </c>
      <c r="P1" t="s">
        <v>1553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3">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393C-DAE8-4EFB-A0A2-F072C76009FE}">
  <dimension ref="AG17"/>
  <sheetViews>
    <sheetView showGridLines="0" tabSelected="1" zoomScale="66" workbookViewId="0">
      <selection activeCell="Z14" sqref="Z14"/>
    </sheetView>
  </sheetViews>
  <sheetFormatPr defaultRowHeight="14.4" x14ac:dyDescent="0.3"/>
  <cols>
    <col min="1" max="16384" width="8.88671875" style="6"/>
  </cols>
  <sheetData>
    <row r="17" spans="33:33" ht="17.399999999999999" x14ac:dyDescent="0.45">
      <c r="AG17"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Dept wise Attrition</vt:lpstr>
      <vt:lpstr>Attrition by Age Group</vt:lpstr>
      <vt:lpstr>Attrition by Marital Status</vt:lpstr>
      <vt:lpstr>HR DATA_Excel.xlsx -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Deepak Prajapati</cp:lastModifiedBy>
  <dcterms:created xsi:type="dcterms:W3CDTF">2026-01-27T18:36:05Z</dcterms:created>
  <dcterms:modified xsi:type="dcterms:W3CDTF">2026-01-28T14:43:03Z</dcterms:modified>
</cp:coreProperties>
</file>